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pa\Downloads\"/>
    </mc:Choice>
  </mc:AlternateContent>
  <xr:revisionPtr revIDLastSave="0" documentId="13_ncr:1_{A1453C0F-E18E-408D-BE02-8D88BA112358}" xr6:coauthVersionLast="36" xr6:coauthVersionMax="36" xr10:uidLastSave="{00000000-0000-0000-0000-000000000000}"/>
  <bookViews>
    <workbookView xWindow="0" yWindow="0" windowWidth="46080" windowHeight="22020" xr2:uid="{00000000-000D-0000-FFFF-FFFF00000000}"/>
  </bookViews>
  <sheets>
    <sheet name="Summary" sheetId="21" r:id="rId1"/>
    <sheet name="Flight Cabin Expansion" sheetId="18" r:id="rId2"/>
    <sheet name="Strength Expansion" sheetId="19" r:id="rId3"/>
    <sheet name="Diversified Air Force" sheetId="20" r:id="rId4"/>
    <sheet name="Long-range Expansion" sheetId="15" r:id="rId5"/>
    <sheet name="Assault Expansion" sheetId="16" r:id="rId6"/>
    <sheet name="Wings" sheetId="17" r:id="rId7"/>
    <sheet name="Targeted Support" sheetId="1" r:id="rId8"/>
    <sheet name="Spring of Life" sheetId="2" r:id="rId9"/>
    <sheet name="Air Force Equipment" sheetId="8" r:id="rId10"/>
    <sheet name="Heroic Inspiration" sheetId="9" r:id="rId11"/>
    <sheet name="Landing Cover" sheetId="5" r:id="rId12"/>
    <sheet name="Morale Boost" sheetId="6" r:id="rId13"/>
    <sheet name="Armor" sheetId="7" r:id="rId14"/>
    <sheet name="Firepower Enhancement" sheetId="3" r:id="rId15"/>
    <sheet name="Power Duel Attack" sheetId="4" r:id="rId16"/>
    <sheet name="Combat Command" sheetId="13" r:id="rId17"/>
    <sheet name="Air Defense" sheetId="14" r:id="rId18"/>
    <sheet name="Power Duel Defense" sheetId="10" r:id="rId19"/>
    <sheet name="Collective Airpower" sheetId="11" r:id="rId20"/>
    <sheet name="Engine" sheetId="12" r:id="rId21"/>
  </sheets>
  <calcPr calcId="191029"/>
</workbook>
</file>

<file path=xl/calcChain.xml><?xml version="1.0" encoding="utf-8"?>
<calcChain xmlns="http://schemas.openxmlformats.org/spreadsheetml/2006/main">
  <c r="H2" i="12" l="1"/>
  <c r="H2" i="2"/>
  <c r="H2" i="11"/>
  <c r="H2" i="10"/>
  <c r="H2" i="17"/>
  <c r="H2" i="14"/>
  <c r="H2" i="16"/>
  <c r="H2" i="15"/>
  <c r="H2" i="13"/>
  <c r="H2" i="4"/>
  <c r="H2" i="3"/>
  <c r="H2" i="19"/>
  <c r="H2" i="18"/>
  <c r="H2" i="7"/>
  <c r="H2" i="6"/>
  <c r="H2" i="5"/>
  <c r="H2" i="1"/>
  <c r="H2" i="20"/>
  <c r="H2" i="9"/>
  <c r="H2" i="8"/>
  <c r="A1" i="21" l="1"/>
</calcChain>
</file>

<file path=xl/sharedStrings.xml><?xml version="1.0" encoding="utf-8"?>
<sst xmlns="http://schemas.openxmlformats.org/spreadsheetml/2006/main" count="501" uniqueCount="124">
  <si>
    <t>Level</t>
  </si>
  <si>
    <t>Effect</t>
  </si>
  <si>
    <t>Manuals</t>
  </si>
  <si>
    <t>1.00%</t>
  </si>
  <si>
    <t>1.12%</t>
  </si>
  <si>
    <t>1.24%</t>
  </si>
  <si>
    <t>1.36%</t>
  </si>
  <si>
    <t>1.48%</t>
  </si>
  <si>
    <t>1.60%</t>
  </si>
  <si>
    <t>1.70%</t>
  </si>
  <si>
    <t>1.80%</t>
  </si>
  <si>
    <t>1.92%</t>
  </si>
  <si>
    <t>2.02%</t>
  </si>
  <si>
    <t>2.14%</t>
  </si>
  <si>
    <t>2.22%</t>
  </si>
  <si>
    <t>2.32%</t>
  </si>
  <si>
    <t>2.42%</t>
  </si>
  <si>
    <t>2.52%</t>
  </si>
  <si>
    <t>2.62%</t>
  </si>
  <si>
    <t>2.68%</t>
  </si>
  <si>
    <t>2.76%</t>
  </si>
  <si>
    <t>2.84%</t>
  </si>
  <si>
    <t>2.92%</t>
  </si>
  <si>
    <t>6.00%</t>
  </si>
  <si>
    <t>6.72%</t>
  </si>
  <si>
    <t>7.44%</t>
  </si>
  <si>
    <t>8.16%</t>
  </si>
  <si>
    <t>8.88%</t>
  </si>
  <si>
    <t>9.60%</t>
  </si>
  <si>
    <t>10.20%</t>
  </si>
  <si>
    <t>10.80%</t>
  </si>
  <si>
    <t>11.52%</t>
  </si>
  <si>
    <t>12.12%</t>
  </si>
  <si>
    <t>12.84%</t>
  </si>
  <si>
    <t>13.32%</t>
  </si>
  <si>
    <t>13.92%</t>
  </si>
  <si>
    <t>14.52%</t>
  </si>
  <si>
    <t>15.12%</t>
  </si>
  <si>
    <t>15.72%</t>
  </si>
  <si>
    <t>16.08%</t>
  </si>
  <si>
    <t>16.56%</t>
  </si>
  <si>
    <t>17.04%</t>
  </si>
  <si>
    <t>17.52%</t>
  </si>
  <si>
    <t>2.00%</t>
  </si>
  <si>
    <t>3.00%</t>
  </si>
  <si>
    <t>4.00%</t>
  </si>
  <si>
    <t>5.00%</t>
  </si>
  <si>
    <t>7.00%</t>
  </si>
  <si>
    <t>8.00%</t>
  </si>
  <si>
    <t>9.00%</t>
  </si>
  <si>
    <t>10.00%</t>
  </si>
  <si>
    <t>11.00%</t>
  </si>
  <si>
    <t>12.00%</t>
  </si>
  <si>
    <t>13.00%</t>
  </si>
  <si>
    <t>14.00%</t>
  </si>
  <si>
    <t>15.00%</t>
  </si>
  <si>
    <t>16.00%</t>
  </si>
  <si>
    <t>17.00%</t>
  </si>
  <si>
    <t>18.00%</t>
  </si>
  <si>
    <t>19.00%</t>
  </si>
  <si>
    <t>20.00%</t>
  </si>
  <si>
    <t>3.33%</t>
  </si>
  <si>
    <t>3.73%</t>
  </si>
  <si>
    <t>4.13%</t>
  </si>
  <si>
    <t>4.53%</t>
  </si>
  <si>
    <t>4.93%</t>
  </si>
  <si>
    <t>5.33%</t>
  </si>
  <si>
    <t>5.67%</t>
  </si>
  <si>
    <t>6.40%</t>
  </si>
  <si>
    <t>6.73%</t>
  </si>
  <si>
    <t>7.13%</t>
  </si>
  <si>
    <t>7.40%</t>
  </si>
  <si>
    <t>7.73%</t>
  </si>
  <si>
    <t>8.07%</t>
  </si>
  <si>
    <t>8.40%</t>
  </si>
  <si>
    <t>8.73%</t>
  </si>
  <si>
    <t>8.93%</t>
  </si>
  <si>
    <t>9.20%</t>
  </si>
  <si>
    <t>9.47%</t>
  </si>
  <si>
    <t>9.73%</t>
  </si>
  <si>
    <t>50.00%</t>
  </si>
  <si>
    <t>56.00%</t>
  </si>
  <si>
    <t>62.00%</t>
  </si>
  <si>
    <t>68.00%</t>
  </si>
  <si>
    <t>74.00%</t>
  </si>
  <si>
    <t>80.00%</t>
  </si>
  <si>
    <t>85.00%</t>
  </si>
  <si>
    <t>90.00%</t>
  </si>
  <si>
    <t>96.00%</t>
  </si>
  <si>
    <t>101.00%</t>
  </si>
  <si>
    <t>107.00%</t>
  </si>
  <si>
    <t>111.00%</t>
  </si>
  <si>
    <t>116.00%</t>
  </si>
  <si>
    <t>121.00%</t>
  </si>
  <si>
    <t>126.00%</t>
  </si>
  <si>
    <t>131.00%</t>
  </si>
  <si>
    <t>134.00%</t>
  </si>
  <si>
    <t>138.00%</t>
  </si>
  <si>
    <t>142.00%</t>
  </si>
  <si>
    <t>146.00%</t>
  </si>
  <si>
    <t>37.50%</t>
  </si>
  <si>
    <t>42.00%</t>
  </si>
  <si>
    <t>46.35%</t>
  </si>
  <si>
    <t>50.85%</t>
  </si>
  <si>
    <t>55.20%</t>
  </si>
  <si>
    <t>59.55%</t>
  </si>
  <si>
    <t>63.60%</t>
  </si>
  <si>
    <t>67.65%</t>
  </si>
  <si>
    <t>71.85%</t>
  </si>
  <si>
    <t>75.75%</t>
  </si>
  <si>
    <t>79.80%</t>
  </si>
  <si>
    <t>83.40%</t>
  </si>
  <si>
    <t>87.00%</t>
  </si>
  <si>
    <t>90.60%</t>
  </si>
  <si>
    <t>94.20%</t>
  </si>
  <si>
    <t>97.80%</t>
  </si>
  <si>
    <t>100.80%</t>
  </si>
  <si>
    <t>103.65%</t>
  </si>
  <si>
    <t>106.65%</t>
  </si>
  <si>
    <t>109.50%</t>
  </si>
  <si>
    <t>Start row</t>
  </si>
  <si>
    <t>End row</t>
  </si>
  <si>
    <t>SUM</t>
  </si>
  <si>
    <t>before 9165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</si>
</sst>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5EFE-B57A-4D40-8333-72974C44B539}">
  <dimension ref="A1:A18"/>
  <sheetViews>
    <sheetView tabSelected="1" workbookViewId="0">
      <selection activeCell="A19" sqref="A19"/>
    </sheetView>
  </sheetViews>
  <sheetFormatPr defaultRowHeight="14.4" x14ac:dyDescent="0.3"/>
  <sheetData>
    <row r="1" spans="1:1" x14ac:dyDescent="0.3">
      <c r="A1">
        <f ca="1">SUM('Flight Cabin Expansion:Engine'!H2)</f>
        <v>6804</v>
      </c>
    </row>
    <row r="18" spans="1:1" x14ac:dyDescent="0.3">
      <c r="A1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1"/>
  <sheetViews>
    <sheetView workbookViewId="0">
      <selection activeCell="N4" sqref="N4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80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81</v>
      </c>
      <c r="C3">
        <v>5</v>
      </c>
    </row>
    <row r="4" spans="1:14" x14ac:dyDescent="0.3">
      <c r="A4">
        <v>3</v>
      </c>
      <c r="B4" t="s">
        <v>82</v>
      </c>
      <c r="C4">
        <v>5</v>
      </c>
    </row>
    <row r="5" spans="1:14" x14ac:dyDescent="0.3">
      <c r="A5">
        <v>4</v>
      </c>
      <c r="B5" t="s">
        <v>83</v>
      </c>
      <c r="C5">
        <v>6</v>
      </c>
    </row>
    <row r="6" spans="1:14" x14ac:dyDescent="0.3">
      <c r="A6">
        <v>5</v>
      </c>
      <c r="B6" t="s">
        <v>84</v>
      </c>
      <c r="C6">
        <v>7</v>
      </c>
    </row>
    <row r="7" spans="1:14" x14ac:dyDescent="0.3">
      <c r="A7">
        <v>6</v>
      </c>
      <c r="B7" t="s">
        <v>85</v>
      </c>
      <c r="C7">
        <v>9</v>
      </c>
    </row>
    <row r="8" spans="1:14" x14ac:dyDescent="0.3">
      <c r="A8">
        <v>7</v>
      </c>
      <c r="B8" t="s">
        <v>86</v>
      </c>
      <c r="C8">
        <v>10</v>
      </c>
    </row>
    <row r="9" spans="1:14" x14ac:dyDescent="0.3">
      <c r="A9">
        <v>8</v>
      </c>
      <c r="B9" t="s">
        <v>87</v>
      </c>
      <c r="C9">
        <v>12</v>
      </c>
    </row>
    <row r="10" spans="1:14" x14ac:dyDescent="0.3">
      <c r="A10">
        <v>9</v>
      </c>
      <c r="B10" t="s">
        <v>88</v>
      </c>
      <c r="C10">
        <v>13</v>
      </c>
    </row>
    <row r="11" spans="1:14" x14ac:dyDescent="0.3">
      <c r="A11">
        <v>10</v>
      </c>
      <c r="B11" t="s">
        <v>89</v>
      </c>
      <c r="C11">
        <v>15</v>
      </c>
    </row>
    <row r="12" spans="1:14" x14ac:dyDescent="0.3">
      <c r="A12">
        <v>11</v>
      </c>
      <c r="B12" t="s">
        <v>90</v>
      </c>
      <c r="C12">
        <v>17</v>
      </c>
    </row>
    <row r="13" spans="1:14" x14ac:dyDescent="0.3">
      <c r="A13">
        <v>12</v>
      </c>
      <c r="B13" t="s">
        <v>91</v>
      </c>
      <c r="C13">
        <v>21</v>
      </c>
    </row>
    <row r="14" spans="1:14" x14ac:dyDescent="0.3">
      <c r="A14">
        <v>13</v>
      </c>
      <c r="B14" t="s">
        <v>92</v>
      </c>
      <c r="C14">
        <v>25</v>
      </c>
    </row>
    <row r="15" spans="1:14" x14ac:dyDescent="0.3">
      <c r="A15">
        <v>14</v>
      </c>
      <c r="B15" t="s">
        <v>93</v>
      </c>
      <c r="C15">
        <v>28</v>
      </c>
    </row>
    <row r="16" spans="1:14" x14ac:dyDescent="0.3">
      <c r="A16">
        <v>15</v>
      </c>
      <c r="B16" t="s">
        <v>94</v>
      </c>
      <c r="C16">
        <v>32</v>
      </c>
    </row>
    <row r="17" spans="1:3" x14ac:dyDescent="0.3">
      <c r="A17">
        <v>16</v>
      </c>
      <c r="B17" t="s">
        <v>95</v>
      </c>
      <c r="C17">
        <v>37</v>
      </c>
    </row>
    <row r="18" spans="1:3" x14ac:dyDescent="0.3">
      <c r="A18">
        <v>17</v>
      </c>
      <c r="B18" t="s">
        <v>96</v>
      </c>
      <c r="C18">
        <v>48</v>
      </c>
    </row>
    <row r="19" spans="1:3" x14ac:dyDescent="0.3">
      <c r="A19">
        <v>18</v>
      </c>
      <c r="B19" t="s">
        <v>97</v>
      </c>
      <c r="C19">
        <v>58</v>
      </c>
    </row>
    <row r="20" spans="1:3" x14ac:dyDescent="0.3">
      <c r="A20">
        <v>19</v>
      </c>
      <c r="B20" t="s">
        <v>98</v>
      </c>
      <c r="C20">
        <v>68</v>
      </c>
    </row>
    <row r="21" spans="1:3" x14ac:dyDescent="0.3">
      <c r="A21">
        <v>20</v>
      </c>
      <c r="B21" t="s">
        <v>99</v>
      </c>
      <c r="C21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"/>
  <sheetViews>
    <sheetView workbookViewId="0">
      <selection activeCell="N12" sqref="N12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61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62</v>
      </c>
      <c r="C3">
        <v>5</v>
      </c>
    </row>
    <row r="4" spans="1:14" x14ac:dyDescent="0.3">
      <c r="A4">
        <v>3</v>
      </c>
      <c r="B4" t="s">
        <v>63</v>
      </c>
      <c r="C4">
        <v>5</v>
      </c>
    </row>
    <row r="5" spans="1:14" x14ac:dyDescent="0.3">
      <c r="A5">
        <v>4</v>
      </c>
      <c r="B5" t="s">
        <v>64</v>
      </c>
      <c r="C5">
        <v>6</v>
      </c>
    </row>
    <row r="6" spans="1:14" x14ac:dyDescent="0.3">
      <c r="A6">
        <v>5</v>
      </c>
      <c r="B6" t="s">
        <v>65</v>
      </c>
      <c r="C6">
        <v>7</v>
      </c>
    </row>
    <row r="7" spans="1:14" x14ac:dyDescent="0.3">
      <c r="A7">
        <v>6</v>
      </c>
      <c r="B7" t="s">
        <v>66</v>
      </c>
      <c r="C7">
        <v>9</v>
      </c>
    </row>
    <row r="8" spans="1:14" x14ac:dyDescent="0.3">
      <c r="A8">
        <v>7</v>
      </c>
      <c r="B8" t="s">
        <v>67</v>
      </c>
      <c r="C8">
        <v>10</v>
      </c>
    </row>
    <row r="9" spans="1:14" x14ac:dyDescent="0.3">
      <c r="A9">
        <v>8</v>
      </c>
      <c r="B9" t="s">
        <v>23</v>
      </c>
      <c r="C9">
        <v>12</v>
      </c>
    </row>
    <row r="10" spans="1:14" x14ac:dyDescent="0.3">
      <c r="A10">
        <v>9</v>
      </c>
      <c r="B10" t="s">
        <v>68</v>
      </c>
      <c r="C10">
        <v>13</v>
      </c>
    </row>
    <row r="11" spans="1:14" x14ac:dyDescent="0.3">
      <c r="A11">
        <v>10</v>
      </c>
      <c r="B11" t="s">
        <v>69</v>
      </c>
      <c r="C11">
        <v>15</v>
      </c>
    </row>
    <row r="12" spans="1:14" x14ac:dyDescent="0.3">
      <c r="A12">
        <v>11</v>
      </c>
      <c r="B12" t="s">
        <v>70</v>
      </c>
      <c r="C12">
        <v>17</v>
      </c>
    </row>
    <row r="13" spans="1:14" x14ac:dyDescent="0.3">
      <c r="A13">
        <v>12</v>
      </c>
      <c r="B13" t="s">
        <v>71</v>
      </c>
      <c r="C13">
        <v>21</v>
      </c>
    </row>
    <row r="14" spans="1:14" x14ac:dyDescent="0.3">
      <c r="A14">
        <v>13</v>
      </c>
      <c r="B14" t="s">
        <v>72</v>
      </c>
      <c r="C14">
        <v>25</v>
      </c>
    </row>
    <row r="15" spans="1:14" x14ac:dyDescent="0.3">
      <c r="A15">
        <v>14</v>
      </c>
      <c r="B15" t="s">
        <v>73</v>
      </c>
      <c r="C15">
        <v>28</v>
      </c>
    </row>
    <row r="16" spans="1:14" x14ac:dyDescent="0.3">
      <c r="A16">
        <v>15</v>
      </c>
      <c r="B16" t="s">
        <v>74</v>
      </c>
      <c r="C16">
        <v>32</v>
      </c>
    </row>
    <row r="17" spans="1:3" x14ac:dyDescent="0.3">
      <c r="A17">
        <v>16</v>
      </c>
      <c r="B17" t="s">
        <v>75</v>
      </c>
      <c r="C17">
        <v>37</v>
      </c>
    </row>
    <row r="18" spans="1:3" x14ac:dyDescent="0.3">
      <c r="A18">
        <v>17</v>
      </c>
      <c r="B18" t="s">
        <v>76</v>
      </c>
      <c r="C18">
        <v>48</v>
      </c>
    </row>
    <row r="19" spans="1:3" x14ac:dyDescent="0.3">
      <c r="A19">
        <v>18</v>
      </c>
      <c r="B19" t="s">
        <v>77</v>
      </c>
      <c r="C19">
        <v>58</v>
      </c>
    </row>
    <row r="20" spans="1:3" x14ac:dyDescent="0.3">
      <c r="A20">
        <v>19</v>
      </c>
      <c r="B20" t="s">
        <v>78</v>
      </c>
      <c r="C20">
        <v>68</v>
      </c>
    </row>
    <row r="21" spans="1:3" x14ac:dyDescent="0.3">
      <c r="A21">
        <v>20</v>
      </c>
      <c r="B21" t="s">
        <v>79</v>
      </c>
      <c r="C21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1"/>
  <sheetViews>
    <sheetView workbookViewId="0">
      <selection activeCell="A17" sqref="A17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100</v>
      </c>
      <c r="H2" s="2">
        <f ca="1">SUM(INDIRECT("C" &amp; M2 &amp; ":C" &amp; N2))</f>
        <v>350</v>
      </c>
      <c r="M2">
        <v>17</v>
      </c>
      <c r="N2">
        <v>21</v>
      </c>
    </row>
    <row r="3" spans="1:14" x14ac:dyDescent="0.3">
      <c r="A3">
        <v>2</v>
      </c>
      <c r="B3" t="s">
        <v>101</v>
      </c>
      <c r="C3">
        <v>6</v>
      </c>
    </row>
    <row r="4" spans="1:14" x14ac:dyDescent="0.3">
      <c r="A4">
        <v>3</v>
      </c>
      <c r="B4" t="s">
        <v>102</v>
      </c>
      <c r="C4">
        <v>6</v>
      </c>
    </row>
    <row r="5" spans="1:14" x14ac:dyDescent="0.3">
      <c r="A5">
        <v>4</v>
      </c>
      <c r="B5" t="s">
        <v>103</v>
      </c>
      <c r="C5">
        <v>8</v>
      </c>
    </row>
    <row r="6" spans="1:14" x14ac:dyDescent="0.3">
      <c r="A6">
        <v>5</v>
      </c>
      <c r="B6" t="s">
        <v>104</v>
      </c>
      <c r="C6">
        <v>9</v>
      </c>
    </row>
    <row r="7" spans="1:14" x14ac:dyDescent="0.3">
      <c r="A7">
        <v>6</v>
      </c>
      <c r="B7" t="s">
        <v>105</v>
      </c>
      <c r="C7">
        <v>10</v>
      </c>
    </row>
    <row r="8" spans="1:14" x14ac:dyDescent="0.3">
      <c r="A8">
        <v>7</v>
      </c>
      <c r="B8" t="s">
        <v>106</v>
      </c>
      <c r="C8">
        <v>12</v>
      </c>
    </row>
    <row r="9" spans="1:14" x14ac:dyDescent="0.3">
      <c r="A9">
        <v>8</v>
      </c>
      <c r="B9" t="s">
        <v>107</v>
      </c>
      <c r="C9">
        <v>14</v>
      </c>
    </row>
    <row r="10" spans="1:14" x14ac:dyDescent="0.3">
      <c r="A10">
        <v>9</v>
      </c>
      <c r="B10" t="s">
        <v>108</v>
      </c>
      <c r="C10">
        <v>16</v>
      </c>
    </row>
    <row r="11" spans="1:14" x14ac:dyDescent="0.3">
      <c r="A11">
        <v>10</v>
      </c>
      <c r="B11" t="s">
        <v>109</v>
      </c>
      <c r="C11">
        <v>18</v>
      </c>
    </row>
    <row r="12" spans="1:14" x14ac:dyDescent="0.3">
      <c r="A12">
        <v>11</v>
      </c>
      <c r="B12" t="s">
        <v>110</v>
      </c>
      <c r="C12">
        <v>21</v>
      </c>
    </row>
    <row r="13" spans="1:14" x14ac:dyDescent="0.3">
      <c r="A13">
        <v>12</v>
      </c>
      <c r="B13" t="s">
        <v>111</v>
      </c>
      <c r="C13">
        <v>25</v>
      </c>
    </row>
    <row r="14" spans="1:14" x14ac:dyDescent="0.3">
      <c r="A14">
        <v>13</v>
      </c>
      <c r="B14" t="s">
        <v>112</v>
      </c>
      <c r="C14">
        <v>30</v>
      </c>
    </row>
    <row r="15" spans="1:14" x14ac:dyDescent="0.3">
      <c r="A15">
        <v>14</v>
      </c>
      <c r="B15" t="s">
        <v>113</v>
      </c>
      <c r="C15">
        <v>34</v>
      </c>
    </row>
    <row r="16" spans="1:14" x14ac:dyDescent="0.3">
      <c r="A16">
        <v>15</v>
      </c>
      <c r="B16" t="s">
        <v>114</v>
      </c>
      <c r="C16">
        <v>39</v>
      </c>
    </row>
    <row r="17" spans="1:3" x14ac:dyDescent="0.3">
      <c r="A17">
        <v>16</v>
      </c>
      <c r="B17" t="s">
        <v>115</v>
      </c>
      <c r="C17">
        <v>45</v>
      </c>
    </row>
    <row r="18" spans="1:3" x14ac:dyDescent="0.3">
      <c r="A18">
        <v>17</v>
      </c>
      <c r="B18" t="s">
        <v>116</v>
      </c>
      <c r="C18">
        <v>58</v>
      </c>
    </row>
    <row r="19" spans="1:3" x14ac:dyDescent="0.3">
      <c r="A19">
        <v>18</v>
      </c>
      <c r="B19" t="s">
        <v>117</v>
      </c>
      <c r="C19">
        <v>70</v>
      </c>
    </row>
    <row r="20" spans="1:3" x14ac:dyDescent="0.3">
      <c r="A20">
        <v>19</v>
      </c>
      <c r="B20" t="s">
        <v>118</v>
      </c>
      <c r="C20">
        <v>82</v>
      </c>
    </row>
    <row r="21" spans="1:3" x14ac:dyDescent="0.3">
      <c r="A21">
        <v>20</v>
      </c>
      <c r="B21" t="s">
        <v>119</v>
      </c>
      <c r="C21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1"/>
  <sheetViews>
    <sheetView workbookViewId="0">
      <selection activeCell="M3" sqref="M3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61</v>
      </c>
      <c r="H2" s="2">
        <f ca="1">SUM(INDIRECT("C" &amp; M2 &amp; ":C" &amp; N2))</f>
        <v>252</v>
      </c>
      <c r="M2">
        <v>18</v>
      </c>
      <c r="N2">
        <v>21</v>
      </c>
    </row>
    <row r="3" spans="1:14" x14ac:dyDescent="0.3">
      <c r="A3">
        <v>2</v>
      </c>
      <c r="B3" t="s">
        <v>62</v>
      </c>
      <c r="C3">
        <v>5</v>
      </c>
    </row>
    <row r="4" spans="1:14" x14ac:dyDescent="0.3">
      <c r="A4">
        <v>3</v>
      </c>
      <c r="B4" t="s">
        <v>63</v>
      </c>
      <c r="C4">
        <v>5</v>
      </c>
    </row>
    <row r="5" spans="1:14" x14ac:dyDescent="0.3">
      <c r="A5">
        <v>4</v>
      </c>
      <c r="B5" t="s">
        <v>64</v>
      </c>
      <c r="C5">
        <v>6</v>
      </c>
    </row>
    <row r="6" spans="1:14" x14ac:dyDescent="0.3">
      <c r="A6">
        <v>5</v>
      </c>
      <c r="B6" t="s">
        <v>65</v>
      </c>
      <c r="C6">
        <v>7</v>
      </c>
    </row>
    <row r="7" spans="1:14" x14ac:dyDescent="0.3">
      <c r="A7">
        <v>6</v>
      </c>
      <c r="B7" t="s">
        <v>66</v>
      </c>
      <c r="C7">
        <v>9</v>
      </c>
    </row>
    <row r="8" spans="1:14" x14ac:dyDescent="0.3">
      <c r="A8">
        <v>7</v>
      </c>
      <c r="B8" t="s">
        <v>67</v>
      </c>
      <c r="C8">
        <v>10</v>
      </c>
    </row>
    <row r="9" spans="1:14" x14ac:dyDescent="0.3">
      <c r="A9">
        <v>8</v>
      </c>
      <c r="B9" t="s">
        <v>23</v>
      </c>
      <c r="C9">
        <v>12</v>
      </c>
    </row>
    <row r="10" spans="1:14" x14ac:dyDescent="0.3">
      <c r="A10">
        <v>9</v>
      </c>
      <c r="B10" t="s">
        <v>68</v>
      </c>
      <c r="C10">
        <v>13</v>
      </c>
    </row>
    <row r="11" spans="1:14" x14ac:dyDescent="0.3">
      <c r="A11">
        <v>10</v>
      </c>
      <c r="B11" t="s">
        <v>69</v>
      </c>
      <c r="C11">
        <v>15</v>
      </c>
    </row>
    <row r="12" spans="1:14" x14ac:dyDescent="0.3">
      <c r="A12">
        <v>11</v>
      </c>
      <c r="B12" t="s">
        <v>70</v>
      </c>
      <c r="C12">
        <v>17</v>
      </c>
    </row>
    <row r="13" spans="1:14" x14ac:dyDescent="0.3">
      <c r="A13">
        <v>12</v>
      </c>
      <c r="B13" t="s">
        <v>71</v>
      </c>
      <c r="C13">
        <v>21</v>
      </c>
    </row>
    <row r="14" spans="1:14" x14ac:dyDescent="0.3">
      <c r="A14">
        <v>13</v>
      </c>
      <c r="B14" t="s">
        <v>72</v>
      </c>
      <c r="C14">
        <v>25</v>
      </c>
    </row>
    <row r="15" spans="1:14" x14ac:dyDescent="0.3">
      <c r="A15">
        <v>14</v>
      </c>
      <c r="B15" t="s">
        <v>73</v>
      </c>
      <c r="C15">
        <v>28</v>
      </c>
    </row>
    <row r="16" spans="1:14" x14ac:dyDescent="0.3">
      <c r="A16">
        <v>15</v>
      </c>
      <c r="B16" t="s">
        <v>74</v>
      </c>
      <c r="C16">
        <v>32</v>
      </c>
    </row>
    <row r="17" spans="1:3" x14ac:dyDescent="0.3">
      <c r="A17">
        <v>16</v>
      </c>
      <c r="B17" t="s">
        <v>75</v>
      </c>
      <c r="C17">
        <v>37</v>
      </c>
    </row>
    <row r="18" spans="1:3" x14ac:dyDescent="0.3">
      <c r="A18">
        <v>17</v>
      </c>
      <c r="B18" t="s">
        <v>76</v>
      </c>
      <c r="C18">
        <v>48</v>
      </c>
    </row>
    <row r="19" spans="1:3" x14ac:dyDescent="0.3">
      <c r="A19">
        <v>18</v>
      </c>
      <c r="B19" t="s">
        <v>77</v>
      </c>
      <c r="C19">
        <v>58</v>
      </c>
    </row>
    <row r="20" spans="1:3" x14ac:dyDescent="0.3">
      <c r="A20">
        <v>19</v>
      </c>
      <c r="B20" t="s">
        <v>78</v>
      </c>
      <c r="C20">
        <v>68</v>
      </c>
    </row>
    <row r="21" spans="1:3" x14ac:dyDescent="0.3">
      <c r="A21">
        <v>20</v>
      </c>
      <c r="B21" t="s">
        <v>79</v>
      </c>
      <c r="C21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1"/>
  <sheetViews>
    <sheetView workbookViewId="0">
      <selection activeCell="N10" sqref="N10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61</v>
      </c>
      <c r="H2" s="2">
        <f ca="1">SUM(INDIRECT("C" &amp; M2 &amp; ":C" &amp; N2))</f>
        <v>289</v>
      </c>
      <c r="M2">
        <v>17</v>
      </c>
      <c r="N2">
        <v>21</v>
      </c>
    </row>
    <row r="3" spans="1:14" x14ac:dyDescent="0.3">
      <c r="A3">
        <v>2</v>
      </c>
      <c r="B3" t="s">
        <v>62</v>
      </c>
      <c r="C3">
        <v>5</v>
      </c>
    </row>
    <row r="4" spans="1:14" x14ac:dyDescent="0.3">
      <c r="A4">
        <v>3</v>
      </c>
      <c r="B4" t="s">
        <v>63</v>
      </c>
      <c r="C4">
        <v>5</v>
      </c>
    </row>
    <row r="5" spans="1:14" x14ac:dyDescent="0.3">
      <c r="A5">
        <v>4</v>
      </c>
      <c r="B5" t="s">
        <v>64</v>
      </c>
      <c r="C5">
        <v>6</v>
      </c>
    </row>
    <row r="6" spans="1:14" x14ac:dyDescent="0.3">
      <c r="A6">
        <v>5</v>
      </c>
      <c r="B6" t="s">
        <v>65</v>
      </c>
      <c r="C6">
        <v>7</v>
      </c>
    </row>
    <row r="7" spans="1:14" x14ac:dyDescent="0.3">
      <c r="A7">
        <v>6</v>
      </c>
      <c r="B7" t="s">
        <v>66</v>
      </c>
      <c r="C7">
        <v>9</v>
      </c>
    </row>
    <row r="8" spans="1:14" x14ac:dyDescent="0.3">
      <c r="A8">
        <v>7</v>
      </c>
      <c r="B8" t="s">
        <v>67</v>
      </c>
      <c r="C8">
        <v>10</v>
      </c>
    </row>
    <row r="9" spans="1:14" x14ac:dyDescent="0.3">
      <c r="A9">
        <v>8</v>
      </c>
      <c r="B9" t="s">
        <v>23</v>
      </c>
      <c r="C9">
        <v>12</v>
      </c>
    </row>
    <row r="10" spans="1:14" x14ac:dyDescent="0.3">
      <c r="A10">
        <v>9</v>
      </c>
      <c r="B10" t="s">
        <v>68</v>
      </c>
      <c r="C10">
        <v>13</v>
      </c>
    </row>
    <row r="11" spans="1:14" x14ac:dyDescent="0.3">
      <c r="A11">
        <v>10</v>
      </c>
      <c r="B11" t="s">
        <v>69</v>
      </c>
      <c r="C11">
        <v>15</v>
      </c>
    </row>
    <row r="12" spans="1:14" x14ac:dyDescent="0.3">
      <c r="A12">
        <v>11</v>
      </c>
      <c r="B12" t="s">
        <v>70</v>
      </c>
      <c r="C12">
        <v>17</v>
      </c>
    </row>
    <row r="13" spans="1:14" x14ac:dyDescent="0.3">
      <c r="A13">
        <v>12</v>
      </c>
      <c r="B13" t="s">
        <v>71</v>
      </c>
      <c r="C13">
        <v>21</v>
      </c>
    </row>
    <row r="14" spans="1:14" x14ac:dyDescent="0.3">
      <c r="A14">
        <v>13</v>
      </c>
      <c r="B14" t="s">
        <v>72</v>
      </c>
      <c r="C14">
        <v>25</v>
      </c>
    </row>
    <row r="15" spans="1:14" x14ac:dyDescent="0.3">
      <c r="A15">
        <v>14</v>
      </c>
      <c r="B15" t="s">
        <v>73</v>
      </c>
      <c r="C15">
        <v>28</v>
      </c>
    </row>
    <row r="16" spans="1:14" x14ac:dyDescent="0.3">
      <c r="A16">
        <v>15</v>
      </c>
      <c r="B16" t="s">
        <v>74</v>
      </c>
      <c r="C16">
        <v>32</v>
      </c>
    </row>
    <row r="17" spans="1:3" x14ac:dyDescent="0.3">
      <c r="A17">
        <v>16</v>
      </c>
      <c r="B17" t="s">
        <v>75</v>
      </c>
      <c r="C17">
        <v>37</v>
      </c>
    </row>
    <row r="18" spans="1:3" x14ac:dyDescent="0.3">
      <c r="A18">
        <v>17</v>
      </c>
      <c r="B18" t="s">
        <v>76</v>
      </c>
      <c r="C18">
        <v>48</v>
      </c>
    </row>
    <row r="19" spans="1:3" x14ac:dyDescent="0.3">
      <c r="A19">
        <v>18</v>
      </c>
      <c r="B19" t="s">
        <v>77</v>
      </c>
      <c r="C19">
        <v>58</v>
      </c>
    </row>
    <row r="20" spans="1:3" x14ac:dyDescent="0.3">
      <c r="A20">
        <v>19</v>
      </c>
      <c r="B20" t="s">
        <v>78</v>
      </c>
      <c r="C20">
        <v>68</v>
      </c>
    </row>
    <row r="21" spans="1:3" x14ac:dyDescent="0.3">
      <c r="A21">
        <v>20</v>
      </c>
      <c r="B21" t="s">
        <v>79</v>
      </c>
      <c r="C21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1"/>
  <sheetViews>
    <sheetView workbookViewId="0">
      <selection activeCell="N10" sqref="N10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61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62</v>
      </c>
      <c r="C3">
        <v>7</v>
      </c>
    </row>
    <row r="4" spans="1:14" x14ac:dyDescent="0.3">
      <c r="A4">
        <v>3</v>
      </c>
      <c r="B4" t="s">
        <v>63</v>
      </c>
      <c r="C4">
        <v>8</v>
      </c>
    </row>
    <row r="5" spans="1:14" x14ac:dyDescent="0.3">
      <c r="A5">
        <v>4</v>
      </c>
      <c r="B5" t="s">
        <v>64</v>
      </c>
      <c r="C5">
        <v>10</v>
      </c>
    </row>
    <row r="6" spans="1:14" x14ac:dyDescent="0.3">
      <c r="A6">
        <v>5</v>
      </c>
      <c r="B6" t="s">
        <v>65</v>
      </c>
      <c r="C6">
        <v>11</v>
      </c>
    </row>
    <row r="7" spans="1:14" x14ac:dyDescent="0.3">
      <c r="A7">
        <v>6</v>
      </c>
      <c r="B7" t="s">
        <v>66</v>
      </c>
      <c r="C7">
        <v>13</v>
      </c>
    </row>
    <row r="8" spans="1:14" x14ac:dyDescent="0.3">
      <c r="A8">
        <v>7</v>
      </c>
      <c r="B8" t="s">
        <v>67</v>
      </c>
      <c r="C8">
        <v>15</v>
      </c>
    </row>
    <row r="9" spans="1:14" x14ac:dyDescent="0.3">
      <c r="A9">
        <v>8</v>
      </c>
      <c r="B9" t="s">
        <v>23</v>
      </c>
      <c r="C9">
        <v>18</v>
      </c>
    </row>
    <row r="10" spans="1:14" x14ac:dyDescent="0.3">
      <c r="A10">
        <v>9</v>
      </c>
      <c r="B10" t="s">
        <v>68</v>
      </c>
      <c r="C10">
        <v>20</v>
      </c>
    </row>
    <row r="11" spans="1:14" x14ac:dyDescent="0.3">
      <c r="A11">
        <v>10</v>
      </c>
      <c r="B11" t="s">
        <v>69</v>
      </c>
      <c r="C11">
        <v>22</v>
      </c>
    </row>
    <row r="12" spans="1:14" x14ac:dyDescent="0.3">
      <c r="A12">
        <v>11</v>
      </c>
      <c r="B12" t="s">
        <v>70</v>
      </c>
      <c r="C12">
        <v>26</v>
      </c>
    </row>
    <row r="13" spans="1:14" x14ac:dyDescent="0.3">
      <c r="A13">
        <v>12</v>
      </c>
      <c r="B13" t="s">
        <v>71</v>
      </c>
      <c r="C13">
        <v>32</v>
      </c>
    </row>
    <row r="14" spans="1:14" x14ac:dyDescent="0.3">
      <c r="A14">
        <v>13</v>
      </c>
      <c r="B14" t="s">
        <v>72</v>
      </c>
      <c r="C14">
        <v>38</v>
      </c>
    </row>
    <row r="15" spans="1:14" x14ac:dyDescent="0.3">
      <c r="A15">
        <v>14</v>
      </c>
      <c r="B15" t="s">
        <v>73</v>
      </c>
      <c r="C15">
        <v>43</v>
      </c>
    </row>
    <row r="16" spans="1:14" x14ac:dyDescent="0.3">
      <c r="A16">
        <v>15</v>
      </c>
      <c r="B16" t="s">
        <v>74</v>
      </c>
      <c r="C16">
        <v>49</v>
      </c>
    </row>
    <row r="17" spans="1:3" x14ac:dyDescent="0.3">
      <c r="A17">
        <v>16</v>
      </c>
      <c r="B17" t="s">
        <v>75</v>
      </c>
      <c r="C17">
        <v>57</v>
      </c>
    </row>
    <row r="18" spans="1:3" x14ac:dyDescent="0.3">
      <c r="A18">
        <v>17</v>
      </c>
      <c r="B18" t="s">
        <v>76</v>
      </c>
      <c r="C18">
        <v>72</v>
      </c>
    </row>
    <row r="19" spans="1:3" x14ac:dyDescent="0.3">
      <c r="A19">
        <v>18</v>
      </c>
      <c r="B19" t="s">
        <v>77</v>
      </c>
      <c r="C19">
        <v>88</v>
      </c>
    </row>
    <row r="20" spans="1:3" x14ac:dyDescent="0.3">
      <c r="A20">
        <v>19</v>
      </c>
      <c r="B20" t="s">
        <v>78</v>
      </c>
      <c r="C20">
        <v>103</v>
      </c>
    </row>
    <row r="21" spans="1:3" x14ac:dyDescent="0.3">
      <c r="A21">
        <v>20</v>
      </c>
      <c r="B21" t="s">
        <v>79</v>
      </c>
      <c r="C21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N6" sqref="N6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>
        <v>500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>
        <v>560</v>
      </c>
      <c r="C3">
        <v>7</v>
      </c>
    </row>
    <row r="4" spans="1:14" x14ac:dyDescent="0.3">
      <c r="A4">
        <v>3</v>
      </c>
      <c r="B4">
        <v>630</v>
      </c>
      <c r="C4">
        <v>7</v>
      </c>
    </row>
    <row r="5" spans="1:14" x14ac:dyDescent="0.3">
      <c r="A5">
        <v>4</v>
      </c>
      <c r="B5">
        <v>680</v>
      </c>
      <c r="C5">
        <v>9</v>
      </c>
    </row>
    <row r="6" spans="1:14" x14ac:dyDescent="0.3">
      <c r="A6">
        <v>5</v>
      </c>
      <c r="B6">
        <v>740</v>
      </c>
      <c r="C6">
        <v>10</v>
      </c>
    </row>
    <row r="7" spans="1:14" x14ac:dyDescent="0.3">
      <c r="A7">
        <v>6</v>
      </c>
      <c r="B7">
        <v>800</v>
      </c>
      <c r="C7">
        <v>12</v>
      </c>
    </row>
    <row r="8" spans="1:14" x14ac:dyDescent="0.3">
      <c r="A8">
        <v>7</v>
      </c>
      <c r="B8">
        <v>850</v>
      </c>
      <c r="C8">
        <v>14</v>
      </c>
    </row>
    <row r="9" spans="1:14" x14ac:dyDescent="0.3">
      <c r="A9">
        <v>8</v>
      </c>
      <c r="B9">
        <v>900</v>
      </c>
      <c r="C9">
        <v>16</v>
      </c>
    </row>
    <row r="10" spans="1:14" x14ac:dyDescent="0.3">
      <c r="A10">
        <v>9</v>
      </c>
      <c r="B10">
        <v>960</v>
      </c>
      <c r="C10">
        <v>18</v>
      </c>
    </row>
    <row r="11" spans="1:14" x14ac:dyDescent="0.3">
      <c r="A11">
        <v>10</v>
      </c>
      <c r="B11">
        <v>1010</v>
      </c>
      <c r="C11">
        <v>21</v>
      </c>
    </row>
    <row r="12" spans="1:14" x14ac:dyDescent="0.3">
      <c r="A12">
        <v>11</v>
      </c>
      <c r="B12">
        <v>1070</v>
      </c>
      <c r="C12">
        <v>24</v>
      </c>
    </row>
    <row r="13" spans="1:14" x14ac:dyDescent="0.3">
      <c r="A13">
        <v>12</v>
      </c>
      <c r="B13">
        <v>1110</v>
      </c>
      <c r="C13">
        <v>29</v>
      </c>
    </row>
    <row r="14" spans="1:14" x14ac:dyDescent="0.3">
      <c r="A14">
        <v>13</v>
      </c>
      <c r="B14">
        <v>1160</v>
      </c>
      <c r="C14">
        <v>35</v>
      </c>
    </row>
    <row r="15" spans="1:14" x14ac:dyDescent="0.3">
      <c r="A15">
        <v>14</v>
      </c>
      <c r="B15">
        <v>1210</v>
      </c>
      <c r="C15">
        <v>40</v>
      </c>
    </row>
    <row r="16" spans="1:14" x14ac:dyDescent="0.3">
      <c r="A16">
        <v>15</v>
      </c>
      <c r="B16">
        <v>1260</v>
      </c>
      <c r="C16">
        <v>45</v>
      </c>
    </row>
    <row r="17" spans="1:3" x14ac:dyDescent="0.3">
      <c r="A17">
        <v>16</v>
      </c>
      <c r="B17">
        <v>1310</v>
      </c>
      <c r="C17">
        <v>53</v>
      </c>
    </row>
    <row r="18" spans="1:3" x14ac:dyDescent="0.3">
      <c r="A18">
        <v>17</v>
      </c>
      <c r="B18">
        <v>1340</v>
      </c>
      <c r="C18">
        <v>67</v>
      </c>
    </row>
    <row r="19" spans="1:3" x14ac:dyDescent="0.3">
      <c r="A19">
        <v>18</v>
      </c>
      <c r="B19">
        <v>1380</v>
      </c>
      <c r="C19">
        <v>81</v>
      </c>
    </row>
    <row r="20" spans="1:3" x14ac:dyDescent="0.3">
      <c r="A20">
        <v>19</v>
      </c>
      <c r="B20">
        <v>1420</v>
      </c>
      <c r="C20">
        <v>95</v>
      </c>
    </row>
    <row r="21" spans="1:3" x14ac:dyDescent="0.3">
      <c r="A21">
        <v>20</v>
      </c>
      <c r="B21">
        <v>1460</v>
      </c>
      <c r="C21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O9" sqref="O9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3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4</v>
      </c>
      <c r="C3">
        <v>7</v>
      </c>
    </row>
    <row r="4" spans="1:14" x14ac:dyDescent="0.3">
      <c r="A4">
        <v>3</v>
      </c>
      <c r="B4" t="s">
        <v>5</v>
      </c>
      <c r="C4">
        <v>7</v>
      </c>
    </row>
    <row r="5" spans="1:14" x14ac:dyDescent="0.3">
      <c r="A5">
        <v>4</v>
      </c>
      <c r="B5" t="s">
        <v>6</v>
      </c>
      <c r="C5">
        <v>9</v>
      </c>
    </row>
    <row r="6" spans="1:14" x14ac:dyDescent="0.3">
      <c r="A6">
        <v>5</v>
      </c>
      <c r="B6" t="s">
        <v>7</v>
      </c>
      <c r="C6">
        <v>10</v>
      </c>
    </row>
    <row r="7" spans="1:14" x14ac:dyDescent="0.3">
      <c r="A7">
        <v>6</v>
      </c>
      <c r="B7" t="s">
        <v>8</v>
      </c>
      <c r="C7">
        <v>12</v>
      </c>
    </row>
    <row r="8" spans="1:14" x14ac:dyDescent="0.3">
      <c r="A8">
        <v>7</v>
      </c>
      <c r="B8" t="s">
        <v>9</v>
      </c>
      <c r="C8">
        <v>14</v>
      </c>
    </row>
    <row r="9" spans="1:14" x14ac:dyDescent="0.3">
      <c r="A9">
        <v>8</v>
      </c>
      <c r="B9" t="s">
        <v>10</v>
      </c>
      <c r="C9">
        <v>16</v>
      </c>
    </row>
    <row r="10" spans="1:14" x14ac:dyDescent="0.3">
      <c r="A10">
        <v>9</v>
      </c>
      <c r="B10" t="s">
        <v>11</v>
      </c>
      <c r="C10">
        <v>18</v>
      </c>
    </row>
    <row r="11" spans="1:14" x14ac:dyDescent="0.3">
      <c r="A11">
        <v>10</v>
      </c>
      <c r="B11" t="s">
        <v>12</v>
      </c>
      <c r="C11">
        <v>21</v>
      </c>
    </row>
    <row r="12" spans="1:14" x14ac:dyDescent="0.3">
      <c r="A12">
        <v>11</v>
      </c>
      <c r="B12" t="s">
        <v>13</v>
      </c>
      <c r="C12">
        <v>24</v>
      </c>
    </row>
    <row r="13" spans="1:14" x14ac:dyDescent="0.3">
      <c r="A13">
        <v>12</v>
      </c>
      <c r="B13" t="s">
        <v>14</v>
      </c>
      <c r="C13">
        <v>29</v>
      </c>
    </row>
    <row r="14" spans="1:14" x14ac:dyDescent="0.3">
      <c r="A14">
        <v>13</v>
      </c>
      <c r="B14" t="s">
        <v>15</v>
      </c>
      <c r="C14">
        <v>35</v>
      </c>
    </row>
    <row r="15" spans="1:14" x14ac:dyDescent="0.3">
      <c r="A15">
        <v>14</v>
      </c>
      <c r="B15" t="s">
        <v>16</v>
      </c>
      <c r="C15">
        <v>40</v>
      </c>
    </row>
    <row r="16" spans="1:14" x14ac:dyDescent="0.3">
      <c r="A16">
        <v>15</v>
      </c>
      <c r="B16" t="s">
        <v>17</v>
      </c>
      <c r="C16">
        <v>45</v>
      </c>
    </row>
    <row r="17" spans="1:3" x14ac:dyDescent="0.3">
      <c r="A17">
        <v>16</v>
      </c>
      <c r="B17" t="s">
        <v>18</v>
      </c>
      <c r="C17">
        <v>53</v>
      </c>
    </row>
    <row r="18" spans="1:3" x14ac:dyDescent="0.3">
      <c r="A18">
        <v>17</v>
      </c>
      <c r="B18" t="s">
        <v>19</v>
      </c>
      <c r="C18">
        <v>67</v>
      </c>
    </row>
    <row r="19" spans="1:3" x14ac:dyDescent="0.3">
      <c r="A19">
        <v>18</v>
      </c>
      <c r="B19" t="s">
        <v>20</v>
      </c>
      <c r="C19">
        <v>81</v>
      </c>
    </row>
    <row r="20" spans="1:3" x14ac:dyDescent="0.3">
      <c r="A20">
        <v>19</v>
      </c>
      <c r="B20" t="s">
        <v>21</v>
      </c>
      <c r="C20">
        <v>95</v>
      </c>
    </row>
    <row r="21" spans="1:3" x14ac:dyDescent="0.3">
      <c r="A21">
        <v>20</v>
      </c>
      <c r="B21" t="s">
        <v>22</v>
      </c>
      <c r="C21">
        <v>110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workbookViewId="0">
      <selection activeCell="M4" sqref="M4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584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10</v>
      </c>
    </row>
    <row r="4" spans="1:14" x14ac:dyDescent="0.3">
      <c r="A4">
        <v>3</v>
      </c>
      <c r="B4" t="s">
        <v>25</v>
      </c>
      <c r="C4">
        <v>11</v>
      </c>
    </row>
    <row r="5" spans="1:14" x14ac:dyDescent="0.3">
      <c r="A5">
        <v>4</v>
      </c>
      <c r="B5" t="s">
        <v>26</v>
      </c>
      <c r="C5">
        <v>13</v>
      </c>
    </row>
    <row r="6" spans="1:14" x14ac:dyDescent="0.3">
      <c r="A6">
        <v>5</v>
      </c>
      <c r="B6" t="s">
        <v>27</v>
      </c>
      <c r="C6">
        <v>15</v>
      </c>
    </row>
    <row r="7" spans="1:14" x14ac:dyDescent="0.3">
      <c r="A7">
        <v>6</v>
      </c>
      <c r="B7" t="s">
        <v>28</v>
      </c>
      <c r="C7">
        <v>18</v>
      </c>
    </row>
    <row r="8" spans="1:14" x14ac:dyDescent="0.3">
      <c r="A8">
        <v>7</v>
      </c>
      <c r="B8" t="s">
        <v>29</v>
      </c>
      <c r="C8">
        <v>21</v>
      </c>
    </row>
    <row r="9" spans="1:14" x14ac:dyDescent="0.3">
      <c r="A9">
        <v>8</v>
      </c>
      <c r="B9" t="s">
        <v>30</v>
      </c>
      <c r="C9">
        <v>24</v>
      </c>
    </row>
    <row r="10" spans="1:14" x14ac:dyDescent="0.3">
      <c r="A10">
        <v>9</v>
      </c>
      <c r="B10" t="s">
        <v>31</v>
      </c>
      <c r="C10">
        <v>27</v>
      </c>
    </row>
    <row r="11" spans="1:14" x14ac:dyDescent="0.3">
      <c r="A11">
        <v>10</v>
      </c>
      <c r="B11" t="s">
        <v>32</v>
      </c>
      <c r="C11">
        <v>30</v>
      </c>
    </row>
    <row r="12" spans="1:14" x14ac:dyDescent="0.3">
      <c r="A12">
        <v>11</v>
      </c>
      <c r="B12" t="s">
        <v>33</v>
      </c>
      <c r="C12">
        <v>35</v>
      </c>
    </row>
    <row r="13" spans="1:14" x14ac:dyDescent="0.3">
      <c r="A13">
        <v>12</v>
      </c>
      <c r="B13" t="s">
        <v>34</v>
      </c>
      <c r="C13">
        <v>42</v>
      </c>
    </row>
    <row r="14" spans="1:14" x14ac:dyDescent="0.3">
      <c r="A14">
        <v>13</v>
      </c>
      <c r="B14" t="s">
        <v>35</v>
      </c>
      <c r="C14">
        <v>50</v>
      </c>
    </row>
    <row r="15" spans="1:14" x14ac:dyDescent="0.3">
      <c r="A15">
        <v>14</v>
      </c>
      <c r="B15" t="s">
        <v>36</v>
      </c>
      <c r="C15">
        <v>58</v>
      </c>
    </row>
    <row r="16" spans="1:14" x14ac:dyDescent="0.3">
      <c r="A16">
        <v>15</v>
      </c>
      <c r="B16" t="s">
        <v>37</v>
      </c>
      <c r="C16">
        <v>65</v>
      </c>
    </row>
    <row r="17" spans="1:3" x14ac:dyDescent="0.3">
      <c r="A17">
        <v>16</v>
      </c>
      <c r="B17" t="s">
        <v>38</v>
      </c>
      <c r="C17">
        <v>76</v>
      </c>
    </row>
    <row r="18" spans="1:3" x14ac:dyDescent="0.3">
      <c r="A18">
        <v>17</v>
      </c>
      <c r="B18" t="s">
        <v>39</v>
      </c>
      <c r="C18">
        <v>96</v>
      </c>
    </row>
    <row r="19" spans="1:3" x14ac:dyDescent="0.3">
      <c r="A19">
        <v>18</v>
      </c>
      <c r="B19" t="s">
        <v>40</v>
      </c>
      <c r="C19">
        <v>117</v>
      </c>
    </row>
    <row r="20" spans="1:3" x14ac:dyDescent="0.3">
      <c r="A20">
        <v>19</v>
      </c>
      <c r="B20" t="s">
        <v>41</v>
      </c>
      <c r="C20">
        <v>137</v>
      </c>
    </row>
    <row r="21" spans="1:3" x14ac:dyDescent="0.3">
      <c r="A21">
        <v>20</v>
      </c>
      <c r="B21" t="s">
        <v>42</v>
      </c>
      <c r="C21">
        <v>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"/>
  <sheetViews>
    <sheetView workbookViewId="0">
      <selection activeCell="N9" sqref="N9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3</v>
      </c>
      <c r="H2" s="2">
        <f ca="1">SUM(INDIRECT("C" &amp; M2 &amp; ":C" &amp; N2))</f>
        <v>584</v>
      </c>
      <c r="M2">
        <v>17</v>
      </c>
      <c r="N2">
        <v>21</v>
      </c>
    </row>
    <row r="3" spans="1:14" x14ac:dyDescent="0.3">
      <c r="A3">
        <v>2</v>
      </c>
      <c r="B3" t="s">
        <v>4</v>
      </c>
      <c r="C3">
        <v>10</v>
      </c>
    </row>
    <row r="4" spans="1:14" x14ac:dyDescent="0.3">
      <c r="A4">
        <v>3</v>
      </c>
      <c r="B4" t="s">
        <v>5</v>
      </c>
      <c r="C4">
        <v>11</v>
      </c>
    </row>
    <row r="5" spans="1:14" x14ac:dyDescent="0.3">
      <c r="A5">
        <v>4</v>
      </c>
      <c r="B5" t="s">
        <v>6</v>
      </c>
      <c r="C5">
        <v>13</v>
      </c>
    </row>
    <row r="6" spans="1:14" x14ac:dyDescent="0.3">
      <c r="A6">
        <v>5</v>
      </c>
      <c r="B6" t="s">
        <v>7</v>
      </c>
      <c r="C6">
        <v>15</v>
      </c>
    </row>
    <row r="7" spans="1:14" x14ac:dyDescent="0.3">
      <c r="A7">
        <v>6</v>
      </c>
      <c r="B7" t="s">
        <v>8</v>
      </c>
      <c r="C7">
        <v>18</v>
      </c>
    </row>
    <row r="8" spans="1:14" x14ac:dyDescent="0.3">
      <c r="A8">
        <v>7</v>
      </c>
      <c r="B8" t="s">
        <v>9</v>
      </c>
      <c r="C8">
        <v>21</v>
      </c>
    </row>
    <row r="9" spans="1:14" x14ac:dyDescent="0.3">
      <c r="A9">
        <v>8</v>
      </c>
      <c r="B9" t="s">
        <v>10</v>
      </c>
      <c r="C9">
        <v>24</v>
      </c>
    </row>
    <row r="10" spans="1:14" x14ac:dyDescent="0.3">
      <c r="A10">
        <v>9</v>
      </c>
      <c r="B10" t="s">
        <v>11</v>
      </c>
      <c r="C10">
        <v>27</v>
      </c>
    </row>
    <row r="11" spans="1:14" x14ac:dyDescent="0.3">
      <c r="A11">
        <v>10</v>
      </c>
      <c r="B11" t="s">
        <v>12</v>
      </c>
      <c r="C11">
        <v>30</v>
      </c>
    </row>
    <row r="12" spans="1:14" x14ac:dyDescent="0.3">
      <c r="A12">
        <v>11</v>
      </c>
      <c r="B12" t="s">
        <v>13</v>
      </c>
      <c r="C12">
        <v>35</v>
      </c>
    </row>
    <row r="13" spans="1:14" x14ac:dyDescent="0.3">
      <c r="A13">
        <v>12</v>
      </c>
      <c r="B13" t="s">
        <v>14</v>
      </c>
      <c r="C13">
        <v>42</v>
      </c>
    </row>
    <row r="14" spans="1:14" x14ac:dyDescent="0.3">
      <c r="A14">
        <v>13</v>
      </c>
      <c r="B14" t="s">
        <v>15</v>
      </c>
      <c r="C14">
        <v>50</v>
      </c>
    </row>
    <row r="15" spans="1:14" x14ac:dyDescent="0.3">
      <c r="A15">
        <v>14</v>
      </c>
      <c r="B15" t="s">
        <v>16</v>
      </c>
      <c r="C15">
        <v>58</v>
      </c>
    </row>
    <row r="16" spans="1:14" x14ac:dyDescent="0.3">
      <c r="A16">
        <v>15</v>
      </c>
      <c r="B16" t="s">
        <v>17</v>
      </c>
      <c r="C16">
        <v>65</v>
      </c>
    </row>
    <row r="17" spans="1:3" x14ac:dyDescent="0.3">
      <c r="A17">
        <v>16</v>
      </c>
      <c r="B17" t="s">
        <v>18</v>
      </c>
      <c r="C17">
        <v>76</v>
      </c>
    </row>
    <row r="18" spans="1:3" x14ac:dyDescent="0.3">
      <c r="A18">
        <v>17</v>
      </c>
      <c r="B18" t="s">
        <v>19</v>
      </c>
      <c r="C18">
        <v>96</v>
      </c>
    </row>
    <row r="19" spans="1:3" x14ac:dyDescent="0.3">
      <c r="A19">
        <v>18</v>
      </c>
      <c r="B19" t="s">
        <v>20</v>
      </c>
      <c r="C19">
        <v>117</v>
      </c>
    </row>
    <row r="20" spans="1:3" x14ac:dyDescent="0.3">
      <c r="A20">
        <v>19</v>
      </c>
      <c r="B20" t="s">
        <v>21</v>
      </c>
      <c r="C20">
        <v>137</v>
      </c>
    </row>
    <row r="21" spans="1:3" x14ac:dyDescent="0.3">
      <c r="A21">
        <v>20</v>
      </c>
      <c r="B21" t="s">
        <v>22</v>
      </c>
      <c r="C21">
        <v>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M8" sqref="M8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3</v>
      </c>
      <c r="H2" s="2">
        <f ca="1">SUM(INDIRECT("C" &amp; M2 &amp; ":C" &amp; N2))</f>
        <v>205</v>
      </c>
      <c r="M2">
        <v>20</v>
      </c>
      <c r="N2">
        <v>21</v>
      </c>
    </row>
    <row r="3" spans="1:14" x14ac:dyDescent="0.3">
      <c r="A3">
        <v>2</v>
      </c>
      <c r="B3" t="s">
        <v>4</v>
      </c>
      <c r="C3">
        <v>7</v>
      </c>
    </row>
    <row r="4" spans="1:14" x14ac:dyDescent="0.3">
      <c r="A4">
        <v>3</v>
      </c>
      <c r="B4" t="s">
        <v>5</v>
      </c>
      <c r="C4">
        <v>7</v>
      </c>
    </row>
    <row r="5" spans="1:14" x14ac:dyDescent="0.3">
      <c r="A5">
        <v>4</v>
      </c>
      <c r="B5" t="s">
        <v>6</v>
      </c>
      <c r="C5">
        <v>9</v>
      </c>
    </row>
    <row r="6" spans="1:14" x14ac:dyDescent="0.3">
      <c r="A6">
        <v>5</v>
      </c>
      <c r="B6" t="s">
        <v>7</v>
      </c>
      <c r="C6">
        <v>10</v>
      </c>
    </row>
    <row r="7" spans="1:14" x14ac:dyDescent="0.3">
      <c r="A7">
        <v>6</v>
      </c>
      <c r="B7" t="s">
        <v>8</v>
      </c>
      <c r="C7">
        <v>12</v>
      </c>
    </row>
    <row r="8" spans="1:14" x14ac:dyDescent="0.3">
      <c r="A8">
        <v>7</v>
      </c>
      <c r="B8" t="s">
        <v>9</v>
      </c>
      <c r="C8">
        <v>14</v>
      </c>
    </row>
    <row r="9" spans="1:14" x14ac:dyDescent="0.3">
      <c r="A9">
        <v>8</v>
      </c>
      <c r="B9" t="s">
        <v>10</v>
      </c>
      <c r="C9">
        <v>16</v>
      </c>
    </row>
    <row r="10" spans="1:14" x14ac:dyDescent="0.3">
      <c r="A10">
        <v>9</v>
      </c>
      <c r="B10" t="s">
        <v>11</v>
      </c>
      <c r="C10">
        <v>18</v>
      </c>
    </row>
    <row r="11" spans="1:14" x14ac:dyDescent="0.3">
      <c r="A11">
        <v>10</v>
      </c>
      <c r="B11" t="s">
        <v>12</v>
      </c>
      <c r="C11">
        <v>21</v>
      </c>
    </row>
    <row r="12" spans="1:14" x14ac:dyDescent="0.3">
      <c r="A12">
        <v>11</v>
      </c>
      <c r="B12" t="s">
        <v>13</v>
      </c>
      <c r="C12">
        <v>24</v>
      </c>
    </row>
    <row r="13" spans="1:14" x14ac:dyDescent="0.3">
      <c r="A13">
        <v>12</v>
      </c>
      <c r="B13" t="s">
        <v>14</v>
      </c>
      <c r="C13">
        <v>29</v>
      </c>
    </row>
    <row r="14" spans="1:14" x14ac:dyDescent="0.3">
      <c r="A14">
        <v>13</v>
      </c>
      <c r="B14" t="s">
        <v>15</v>
      </c>
      <c r="C14">
        <v>35</v>
      </c>
    </row>
    <row r="15" spans="1:14" x14ac:dyDescent="0.3">
      <c r="A15">
        <v>14</v>
      </c>
      <c r="B15" t="s">
        <v>16</v>
      </c>
      <c r="C15">
        <v>40</v>
      </c>
    </row>
    <row r="16" spans="1:14" x14ac:dyDescent="0.3">
      <c r="A16">
        <v>15</v>
      </c>
      <c r="B16" t="s">
        <v>17</v>
      </c>
      <c r="C16">
        <v>45</v>
      </c>
    </row>
    <row r="17" spans="1:3" x14ac:dyDescent="0.3">
      <c r="A17">
        <v>16</v>
      </c>
      <c r="B17" t="s">
        <v>18</v>
      </c>
      <c r="C17">
        <v>53</v>
      </c>
    </row>
    <row r="18" spans="1:3" x14ac:dyDescent="0.3">
      <c r="A18">
        <v>17</v>
      </c>
      <c r="B18" t="s">
        <v>19</v>
      </c>
      <c r="C18">
        <v>67</v>
      </c>
    </row>
    <row r="19" spans="1:3" x14ac:dyDescent="0.3">
      <c r="A19">
        <v>18</v>
      </c>
      <c r="B19" t="s">
        <v>20</v>
      </c>
      <c r="C19">
        <v>81</v>
      </c>
    </row>
    <row r="20" spans="1:3" x14ac:dyDescent="0.3">
      <c r="A20">
        <v>19</v>
      </c>
      <c r="B20" t="s">
        <v>21</v>
      </c>
      <c r="C20">
        <v>95</v>
      </c>
    </row>
    <row r="21" spans="1:3" x14ac:dyDescent="0.3">
      <c r="A21">
        <v>20</v>
      </c>
      <c r="B21" t="s">
        <v>22</v>
      </c>
      <c r="C21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>
      <selection activeCell="O8" sqref="O8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406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7</v>
      </c>
    </row>
    <row r="4" spans="1:14" x14ac:dyDescent="0.3">
      <c r="A4">
        <v>3</v>
      </c>
      <c r="B4" t="s">
        <v>25</v>
      </c>
      <c r="C4">
        <v>7</v>
      </c>
    </row>
    <row r="5" spans="1:14" x14ac:dyDescent="0.3">
      <c r="A5">
        <v>4</v>
      </c>
      <c r="B5" t="s">
        <v>26</v>
      </c>
      <c r="C5">
        <v>9</v>
      </c>
    </row>
    <row r="6" spans="1:14" x14ac:dyDescent="0.3">
      <c r="A6">
        <v>5</v>
      </c>
      <c r="B6" t="s">
        <v>27</v>
      </c>
      <c r="C6">
        <v>10</v>
      </c>
    </row>
    <row r="7" spans="1:14" x14ac:dyDescent="0.3">
      <c r="A7">
        <v>6</v>
      </c>
      <c r="B7" t="s">
        <v>28</v>
      </c>
      <c r="C7">
        <v>12</v>
      </c>
    </row>
    <row r="8" spans="1:14" x14ac:dyDescent="0.3">
      <c r="A8">
        <v>7</v>
      </c>
      <c r="B8" t="s">
        <v>29</v>
      </c>
      <c r="C8">
        <v>14</v>
      </c>
    </row>
    <row r="9" spans="1:14" x14ac:dyDescent="0.3">
      <c r="A9">
        <v>8</v>
      </c>
      <c r="B9" t="s">
        <v>30</v>
      </c>
      <c r="C9">
        <v>16</v>
      </c>
    </row>
    <row r="10" spans="1:14" x14ac:dyDescent="0.3">
      <c r="A10">
        <v>9</v>
      </c>
      <c r="B10" t="s">
        <v>31</v>
      </c>
      <c r="C10">
        <v>18</v>
      </c>
    </row>
    <row r="11" spans="1:14" x14ac:dyDescent="0.3">
      <c r="A11">
        <v>10</v>
      </c>
      <c r="B11" t="s">
        <v>32</v>
      </c>
      <c r="C11">
        <v>21</v>
      </c>
    </row>
    <row r="12" spans="1:14" x14ac:dyDescent="0.3">
      <c r="A12">
        <v>11</v>
      </c>
      <c r="B12" t="s">
        <v>33</v>
      </c>
      <c r="C12">
        <v>24</v>
      </c>
    </row>
    <row r="13" spans="1:14" x14ac:dyDescent="0.3">
      <c r="A13">
        <v>12</v>
      </c>
      <c r="B13" t="s">
        <v>34</v>
      </c>
      <c r="C13">
        <v>29</v>
      </c>
    </row>
    <row r="14" spans="1:14" x14ac:dyDescent="0.3">
      <c r="A14">
        <v>13</v>
      </c>
      <c r="B14" t="s">
        <v>35</v>
      </c>
      <c r="C14">
        <v>35</v>
      </c>
    </row>
    <row r="15" spans="1:14" x14ac:dyDescent="0.3">
      <c r="A15">
        <v>14</v>
      </c>
      <c r="B15" t="s">
        <v>36</v>
      </c>
      <c r="C15">
        <v>40</v>
      </c>
    </row>
    <row r="16" spans="1:14" x14ac:dyDescent="0.3">
      <c r="A16">
        <v>15</v>
      </c>
      <c r="B16" t="s">
        <v>37</v>
      </c>
      <c r="C16">
        <v>45</v>
      </c>
    </row>
    <row r="17" spans="1:3" x14ac:dyDescent="0.3">
      <c r="A17">
        <v>16</v>
      </c>
      <c r="B17" t="s">
        <v>38</v>
      </c>
      <c r="C17">
        <v>53</v>
      </c>
    </row>
    <row r="18" spans="1:3" x14ac:dyDescent="0.3">
      <c r="A18">
        <v>17</v>
      </c>
      <c r="B18" t="s">
        <v>39</v>
      </c>
      <c r="C18">
        <v>67</v>
      </c>
    </row>
    <row r="19" spans="1:3" x14ac:dyDescent="0.3">
      <c r="A19">
        <v>18</v>
      </c>
      <c r="B19" t="s">
        <v>40</v>
      </c>
      <c r="C19">
        <v>81</v>
      </c>
    </row>
    <row r="20" spans="1:3" x14ac:dyDescent="0.3">
      <c r="A20">
        <v>19</v>
      </c>
      <c r="B20" t="s">
        <v>41</v>
      </c>
      <c r="C20">
        <v>95</v>
      </c>
    </row>
    <row r="21" spans="1:3" x14ac:dyDescent="0.3">
      <c r="A21">
        <v>20</v>
      </c>
      <c r="B21" t="s">
        <v>42</v>
      </c>
      <c r="C21">
        <v>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workbookViewId="0">
      <selection activeCell="N4" sqref="N4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3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43</v>
      </c>
      <c r="C3">
        <v>14</v>
      </c>
    </row>
    <row r="4" spans="1:14" x14ac:dyDescent="0.3">
      <c r="A4">
        <v>3</v>
      </c>
      <c r="B4" t="s">
        <v>44</v>
      </c>
      <c r="C4">
        <v>15</v>
      </c>
    </row>
    <row r="5" spans="1:14" x14ac:dyDescent="0.3">
      <c r="A5">
        <v>4</v>
      </c>
      <c r="B5" t="s">
        <v>45</v>
      </c>
      <c r="C5">
        <v>19</v>
      </c>
    </row>
    <row r="6" spans="1:14" x14ac:dyDescent="0.3">
      <c r="A6">
        <v>5</v>
      </c>
      <c r="B6" t="s">
        <v>46</v>
      </c>
      <c r="C6">
        <v>21</v>
      </c>
    </row>
    <row r="7" spans="1:14" x14ac:dyDescent="0.3">
      <c r="A7">
        <v>6</v>
      </c>
      <c r="B7" t="s">
        <v>23</v>
      </c>
      <c r="C7">
        <v>25</v>
      </c>
    </row>
    <row r="8" spans="1:14" x14ac:dyDescent="0.3">
      <c r="A8">
        <v>7</v>
      </c>
      <c r="B8" t="s">
        <v>47</v>
      </c>
      <c r="C8">
        <v>29</v>
      </c>
    </row>
    <row r="9" spans="1:14" x14ac:dyDescent="0.3">
      <c r="A9">
        <v>8</v>
      </c>
      <c r="B9" t="s">
        <v>48</v>
      </c>
      <c r="C9">
        <v>33</v>
      </c>
    </row>
    <row r="10" spans="1:14" x14ac:dyDescent="0.3">
      <c r="A10">
        <v>9</v>
      </c>
      <c r="B10" t="s">
        <v>49</v>
      </c>
      <c r="C10">
        <v>37</v>
      </c>
    </row>
    <row r="11" spans="1:14" x14ac:dyDescent="0.3">
      <c r="A11">
        <v>10</v>
      </c>
      <c r="B11" t="s">
        <v>50</v>
      </c>
      <c r="C11">
        <v>42</v>
      </c>
    </row>
    <row r="12" spans="1:14" x14ac:dyDescent="0.3">
      <c r="A12">
        <v>11</v>
      </c>
      <c r="B12" t="s">
        <v>51</v>
      </c>
      <c r="C12">
        <v>49</v>
      </c>
    </row>
    <row r="13" spans="1:14" x14ac:dyDescent="0.3">
      <c r="A13">
        <v>12</v>
      </c>
      <c r="B13" t="s">
        <v>52</v>
      </c>
      <c r="C13">
        <v>59</v>
      </c>
    </row>
    <row r="14" spans="1:14" x14ac:dyDescent="0.3">
      <c r="A14">
        <v>13</v>
      </c>
      <c r="B14" t="s">
        <v>53</v>
      </c>
      <c r="C14">
        <v>70</v>
      </c>
    </row>
    <row r="15" spans="1:14" x14ac:dyDescent="0.3">
      <c r="A15">
        <v>14</v>
      </c>
      <c r="B15" t="s">
        <v>54</v>
      </c>
      <c r="C15">
        <v>80</v>
      </c>
    </row>
    <row r="16" spans="1:14" x14ac:dyDescent="0.3">
      <c r="A16">
        <v>15</v>
      </c>
      <c r="B16" t="s">
        <v>55</v>
      </c>
      <c r="C16">
        <v>91</v>
      </c>
    </row>
    <row r="17" spans="1:3" x14ac:dyDescent="0.3">
      <c r="A17">
        <v>16</v>
      </c>
      <c r="B17" t="s">
        <v>56</v>
      </c>
      <c r="C17">
        <v>105</v>
      </c>
    </row>
    <row r="18" spans="1:3" x14ac:dyDescent="0.3">
      <c r="A18">
        <v>17</v>
      </c>
      <c r="B18" t="s">
        <v>57</v>
      </c>
      <c r="C18">
        <v>134</v>
      </c>
    </row>
    <row r="19" spans="1:3" x14ac:dyDescent="0.3">
      <c r="A19">
        <v>18</v>
      </c>
      <c r="B19" t="s">
        <v>58</v>
      </c>
      <c r="C19">
        <v>162</v>
      </c>
    </row>
    <row r="20" spans="1:3" x14ac:dyDescent="0.3">
      <c r="A20">
        <v>19</v>
      </c>
      <c r="B20" t="s">
        <v>59</v>
      </c>
      <c r="C20">
        <v>191</v>
      </c>
    </row>
    <row r="21" spans="1:3" x14ac:dyDescent="0.3">
      <c r="A21">
        <v>20</v>
      </c>
      <c r="B21" t="s">
        <v>60</v>
      </c>
      <c r="C21">
        <v>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N6" sqref="N6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848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14</v>
      </c>
    </row>
    <row r="4" spans="1:14" x14ac:dyDescent="0.3">
      <c r="A4">
        <v>3</v>
      </c>
      <c r="B4" t="s">
        <v>25</v>
      </c>
      <c r="C4">
        <v>16</v>
      </c>
    </row>
    <row r="5" spans="1:14" x14ac:dyDescent="0.3">
      <c r="A5">
        <v>4</v>
      </c>
      <c r="B5" t="s">
        <v>26</v>
      </c>
      <c r="C5">
        <v>20</v>
      </c>
    </row>
    <row r="6" spans="1:14" x14ac:dyDescent="0.3">
      <c r="A6">
        <v>5</v>
      </c>
      <c r="B6" t="s">
        <v>27</v>
      </c>
      <c r="C6">
        <v>21</v>
      </c>
    </row>
    <row r="7" spans="1:14" x14ac:dyDescent="0.3">
      <c r="A7">
        <v>6</v>
      </c>
      <c r="B7" t="s">
        <v>28</v>
      </c>
      <c r="C7">
        <v>26</v>
      </c>
    </row>
    <row r="8" spans="1:14" x14ac:dyDescent="0.3">
      <c r="A8">
        <v>7</v>
      </c>
      <c r="B8" t="s">
        <v>29</v>
      </c>
      <c r="C8">
        <v>30</v>
      </c>
    </row>
    <row r="9" spans="1:14" x14ac:dyDescent="0.3">
      <c r="A9">
        <v>8</v>
      </c>
      <c r="B9" t="s">
        <v>30</v>
      </c>
      <c r="C9">
        <v>35</v>
      </c>
    </row>
    <row r="10" spans="1:14" x14ac:dyDescent="0.3">
      <c r="A10">
        <v>9</v>
      </c>
      <c r="B10" t="s">
        <v>31</v>
      </c>
      <c r="C10">
        <v>39</v>
      </c>
    </row>
    <row r="11" spans="1:14" x14ac:dyDescent="0.3">
      <c r="A11">
        <v>10</v>
      </c>
      <c r="B11" t="s">
        <v>32</v>
      </c>
      <c r="C11">
        <v>43</v>
      </c>
    </row>
    <row r="12" spans="1:14" x14ac:dyDescent="0.3">
      <c r="A12">
        <v>11</v>
      </c>
      <c r="B12" t="s">
        <v>33</v>
      </c>
      <c r="C12">
        <v>51</v>
      </c>
    </row>
    <row r="13" spans="1:14" x14ac:dyDescent="0.3">
      <c r="A13">
        <v>12</v>
      </c>
      <c r="B13" t="s">
        <v>34</v>
      </c>
      <c r="C13">
        <v>62</v>
      </c>
    </row>
    <row r="14" spans="1:14" x14ac:dyDescent="0.3">
      <c r="A14">
        <v>13</v>
      </c>
      <c r="B14" t="s">
        <v>35</v>
      </c>
      <c r="C14">
        <v>73</v>
      </c>
    </row>
    <row r="15" spans="1:14" x14ac:dyDescent="0.3">
      <c r="A15">
        <v>14</v>
      </c>
      <c r="B15" t="s">
        <v>36</v>
      </c>
      <c r="C15">
        <v>84</v>
      </c>
    </row>
    <row r="16" spans="1:14" x14ac:dyDescent="0.3">
      <c r="A16">
        <v>15</v>
      </c>
      <c r="B16" t="s">
        <v>37</v>
      </c>
      <c r="C16">
        <v>95</v>
      </c>
    </row>
    <row r="17" spans="1:3" x14ac:dyDescent="0.3">
      <c r="A17">
        <v>16</v>
      </c>
      <c r="B17" t="s">
        <v>38</v>
      </c>
      <c r="C17">
        <v>110</v>
      </c>
    </row>
    <row r="18" spans="1:3" x14ac:dyDescent="0.3">
      <c r="A18">
        <v>17</v>
      </c>
      <c r="B18" t="s">
        <v>39</v>
      </c>
      <c r="C18">
        <v>140</v>
      </c>
    </row>
    <row r="19" spans="1:3" x14ac:dyDescent="0.3">
      <c r="A19">
        <v>18</v>
      </c>
      <c r="B19" t="s">
        <v>40</v>
      </c>
      <c r="C19">
        <v>170</v>
      </c>
    </row>
    <row r="20" spans="1:3" x14ac:dyDescent="0.3">
      <c r="A20">
        <v>19</v>
      </c>
      <c r="B20" t="s">
        <v>41</v>
      </c>
      <c r="C20">
        <v>199</v>
      </c>
    </row>
    <row r="21" spans="1:3" x14ac:dyDescent="0.3">
      <c r="A21">
        <v>20</v>
      </c>
      <c r="B21" t="s">
        <v>42</v>
      </c>
      <c r="C21">
        <v>229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O8" sqref="O8"/>
    </sheetView>
  </sheetViews>
  <sheetFormatPr defaultRowHeight="14.4" x14ac:dyDescent="0.3"/>
  <cols>
    <col min="1" max="3" width="24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24</v>
      </c>
      <c r="C3">
        <v>14</v>
      </c>
    </row>
    <row r="4" spans="1:14" x14ac:dyDescent="0.3">
      <c r="A4">
        <v>3</v>
      </c>
      <c r="B4" t="s">
        <v>25</v>
      </c>
      <c r="C4">
        <v>16</v>
      </c>
    </row>
    <row r="5" spans="1:14" x14ac:dyDescent="0.3">
      <c r="A5">
        <v>4</v>
      </c>
      <c r="B5" t="s">
        <v>26</v>
      </c>
      <c r="C5">
        <v>20</v>
      </c>
    </row>
    <row r="6" spans="1:14" x14ac:dyDescent="0.3">
      <c r="A6">
        <v>5</v>
      </c>
      <c r="B6" t="s">
        <v>27</v>
      </c>
      <c r="C6">
        <v>21</v>
      </c>
    </row>
    <row r="7" spans="1:14" x14ac:dyDescent="0.3">
      <c r="A7">
        <v>6</v>
      </c>
      <c r="B7" t="s">
        <v>28</v>
      </c>
      <c r="C7">
        <v>26</v>
      </c>
    </row>
    <row r="8" spans="1:14" x14ac:dyDescent="0.3">
      <c r="A8">
        <v>7</v>
      </c>
      <c r="B8" t="s">
        <v>29</v>
      </c>
      <c r="C8">
        <v>30</v>
      </c>
    </row>
    <row r="9" spans="1:14" x14ac:dyDescent="0.3">
      <c r="A9">
        <v>8</v>
      </c>
      <c r="B9" t="s">
        <v>30</v>
      </c>
      <c r="C9">
        <v>35</v>
      </c>
    </row>
    <row r="10" spans="1:14" x14ac:dyDescent="0.3">
      <c r="A10">
        <v>9</v>
      </c>
      <c r="B10" t="s">
        <v>31</v>
      </c>
      <c r="C10">
        <v>39</v>
      </c>
    </row>
    <row r="11" spans="1:14" x14ac:dyDescent="0.3">
      <c r="A11">
        <v>10</v>
      </c>
      <c r="B11" t="s">
        <v>32</v>
      </c>
      <c r="C11">
        <v>43</v>
      </c>
    </row>
    <row r="12" spans="1:14" x14ac:dyDescent="0.3">
      <c r="A12">
        <v>11</v>
      </c>
      <c r="B12" t="s">
        <v>33</v>
      </c>
      <c r="C12">
        <v>51</v>
      </c>
    </row>
    <row r="13" spans="1:14" x14ac:dyDescent="0.3">
      <c r="A13">
        <v>12</v>
      </c>
      <c r="B13" t="s">
        <v>34</v>
      </c>
      <c r="C13">
        <v>62</v>
      </c>
    </row>
    <row r="14" spans="1:14" x14ac:dyDescent="0.3">
      <c r="A14">
        <v>13</v>
      </c>
      <c r="B14" t="s">
        <v>35</v>
      </c>
      <c r="C14">
        <v>73</v>
      </c>
    </row>
    <row r="15" spans="1:14" x14ac:dyDescent="0.3">
      <c r="A15">
        <v>14</v>
      </c>
      <c r="B15" t="s">
        <v>36</v>
      </c>
      <c r="C15">
        <v>84</v>
      </c>
    </row>
    <row r="16" spans="1:14" x14ac:dyDescent="0.3">
      <c r="A16">
        <v>15</v>
      </c>
      <c r="B16" t="s">
        <v>37</v>
      </c>
      <c r="C16">
        <v>95</v>
      </c>
    </row>
    <row r="17" spans="1:3" x14ac:dyDescent="0.3">
      <c r="A17">
        <v>16</v>
      </c>
      <c r="B17" t="s">
        <v>38</v>
      </c>
      <c r="C17">
        <v>110</v>
      </c>
    </row>
    <row r="18" spans="1:3" x14ac:dyDescent="0.3">
      <c r="A18">
        <v>17</v>
      </c>
      <c r="B18" t="s">
        <v>39</v>
      </c>
      <c r="C18">
        <v>140</v>
      </c>
    </row>
    <row r="19" spans="1:3" x14ac:dyDescent="0.3">
      <c r="A19">
        <v>18</v>
      </c>
      <c r="B19" t="s">
        <v>40</v>
      </c>
      <c r="C19">
        <v>170</v>
      </c>
    </row>
    <row r="20" spans="1:3" x14ac:dyDescent="0.3">
      <c r="A20">
        <v>19</v>
      </c>
      <c r="B20" t="s">
        <v>41</v>
      </c>
      <c r="C20">
        <v>199</v>
      </c>
    </row>
    <row r="21" spans="1:3" x14ac:dyDescent="0.3">
      <c r="A21">
        <v>20</v>
      </c>
      <c r="B21" t="s">
        <v>42</v>
      </c>
      <c r="C21">
        <v>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1"/>
  <sheetViews>
    <sheetView workbookViewId="0">
      <selection activeCell="N4" sqref="N4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1219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21</v>
      </c>
    </row>
    <row r="4" spans="1:14" x14ac:dyDescent="0.3">
      <c r="A4">
        <v>3</v>
      </c>
      <c r="B4" t="s">
        <v>25</v>
      </c>
      <c r="C4">
        <v>23</v>
      </c>
    </row>
    <row r="5" spans="1:14" x14ac:dyDescent="0.3">
      <c r="A5">
        <v>4</v>
      </c>
      <c r="B5" t="s">
        <v>26</v>
      </c>
      <c r="C5">
        <v>28</v>
      </c>
    </row>
    <row r="6" spans="1:14" x14ac:dyDescent="0.3">
      <c r="A6">
        <v>5</v>
      </c>
      <c r="B6" t="s">
        <v>27</v>
      </c>
      <c r="C6">
        <v>31</v>
      </c>
    </row>
    <row r="7" spans="1:14" x14ac:dyDescent="0.3">
      <c r="A7">
        <v>6</v>
      </c>
      <c r="B7" t="s">
        <v>28</v>
      </c>
      <c r="C7">
        <v>37</v>
      </c>
    </row>
    <row r="8" spans="1:14" x14ac:dyDescent="0.3">
      <c r="A8">
        <v>7</v>
      </c>
      <c r="B8" t="s">
        <v>29</v>
      </c>
      <c r="C8">
        <v>44</v>
      </c>
    </row>
    <row r="9" spans="1:14" x14ac:dyDescent="0.3">
      <c r="A9">
        <v>8</v>
      </c>
      <c r="B9" t="s">
        <v>30</v>
      </c>
      <c r="C9">
        <v>50</v>
      </c>
    </row>
    <row r="10" spans="1:14" x14ac:dyDescent="0.3">
      <c r="A10">
        <v>9</v>
      </c>
      <c r="B10" t="s">
        <v>31</v>
      </c>
      <c r="C10">
        <v>56</v>
      </c>
    </row>
    <row r="11" spans="1:14" x14ac:dyDescent="0.3">
      <c r="A11">
        <v>10</v>
      </c>
      <c r="B11" t="s">
        <v>32</v>
      </c>
      <c r="C11">
        <v>63</v>
      </c>
    </row>
    <row r="12" spans="1:14" x14ac:dyDescent="0.3">
      <c r="A12">
        <v>11</v>
      </c>
      <c r="B12" t="s">
        <v>33</v>
      </c>
      <c r="C12">
        <v>73</v>
      </c>
    </row>
    <row r="13" spans="1:14" x14ac:dyDescent="0.3">
      <c r="A13">
        <v>12</v>
      </c>
      <c r="B13" t="s">
        <v>34</v>
      </c>
      <c r="C13">
        <v>89</v>
      </c>
    </row>
    <row r="14" spans="1:14" x14ac:dyDescent="0.3">
      <c r="A14">
        <v>13</v>
      </c>
      <c r="B14" t="s">
        <v>35</v>
      </c>
      <c r="C14">
        <v>105</v>
      </c>
    </row>
    <row r="15" spans="1:14" x14ac:dyDescent="0.3">
      <c r="A15">
        <v>14</v>
      </c>
      <c r="B15" t="s">
        <v>36</v>
      </c>
      <c r="C15">
        <v>121</v>
      </c>
    </row>
    <row r="16" spans="1:14" x14ac:dyDescent="0.3">
      <c r="A16">
        <v>15</v>
      </c>
      <c r="B16" t="s">
        <v>37</v>
      </c>
      <c r="C16">
        <v>136</v>
      </c>
    </row>
    <row r="17" spans="1:3" x14ac:dyDescent="0.3">
      <c r="A17">
        <v>16</v>
      </c>
      <c r="B17" t="s">
        <v>38</v>
      </c>
      <c r="C17">
        <v>158</v>
      </c>
    </row>
    <row r="18" spans="1:3" x14ac:dyDescent="0.3">
      <c r="A18">
        <v>17</v>
      </c>
      <c r="B18" t="s">
        <v>39</v>
      </c>
      <c r="C18">
        <v>201</v>
      </c>
    </row>
    <row r="19" spans="1:3" x14ac:dyDescent="0.3">
      <c r="A19">
        <v>18</v>
      </c>
      <c r="B19" t="s">
        <v>40</v>
      </c>
      <c r="C19">
        <v>244</v>
      </c>
    </row>
    <row r="20" spans="1:3" x14ac:dyDescent="0.3">
      <c r="A20">
        <v>19</v>
      </c>
      <c r="B20" t="s">
        <v>41</v>
      </c>
      <c r="C20">
        <v>287</v>
      </c>
    </row>
    <row r="21" spans="1:3" x14ac:dyDescent="0.3">
      <c r="A21">
        <v>20</v>
      </c>
      <c r="B21" t="s">
        <v>42</v>
      </c>
      <c r="C21">
        <v>329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1"/>
  <sheetViews>
    <sheetView workbookViewId="0">
      <selection activeCell="N8" sqref="N8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1219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21</v>
      </c>
    </row>
    <row r="4" spans="1:14" x14ac:dyDescent="0.3">
      <c r="A4">
        <v>3</v>
      </c>
      <c r="B4" t="s">
        <v>25</v>
      </c>
      <c r="C4">
        <v>23</v>
      </c>
    </row>
    <row r="5" spans="1:14" x14ac:dyDescent="0.3">
      <c r="A5">
        <v>4</v>
      </c>
      <c r="B5" t="s">
        <v>26</v>
      </c>
      <c r="C5">
        <v>28</v>
      </c>
    </row>
    <row r="6" spans="1:14" x14ac:dyDescent="0.3">
      <c r="A6">
        <v>5</v>
      </c>
      <c r="B6" t="s">
        <v>27</v>
      </c>
      <c r="C6">
        <v>31</v>
      </c>
    </row>
    <row r="7" spans="1:14" x14ac:dyDescent="0.3">
      <c r="A7">
        <v>6</v>
      </c>
      <c r="B7" t="s">
        <v>28</v>
      </c>
      <c r="C7">
        <v>37</v>
      </c>
    </row>
    <row r="8" spans="1:14" x14ac:dyDescent="0.3">
      <c r="A8">
        <v>7</v>
      </c>
      <c r="B8" t="s">
        <v>29</v>
      </c>
      <c r="C8">
        <v>44</v>
      </c>
    </row>
    <row r="9" spans="1:14" x14ac:dyDescent="0.3">
      <c r="A9">
        <v>8</v>
      </c>
      <c r="B9" t="s">
        <v>30</v>
      </c>
      <c r="C9">
        <v>50</v>
      </c>
    </row>
    <row r="10" spans="1:14" x14ac:dyDescent="0.3">
      <c r="A10">
        <v>9</v>
      </c>
      <c r="B10" t="s">
        <v>31</v>
      </c>
      <c r="C10">
        <v>56</v>
      </c>
    </row>
    <row r="11" spans="1:14" x14ac:dyDescent="0.3">
      <c r="A11">
        <v>10</v>
      </c>
      <c r="B11" t="s">
        <v>32</v>
      </c>
      <c r="C11">
        <v>63</v>
      </c>
    </row>
    <row r="12" spans="1:14" x14ac:dyDescent="0.3">
      <c r="A12">
        <v>11</v>
      </c>
      <c r="B12" t="s">
        <v>33</v>
      </c>
      <c r="C12">
        <v>73</v>
      </c>
    </row>
    <row r="13" spans="1:14" x14ac:dyDescent="0.3">
      <c r="A13">
        <v>12</v>
      </c>
      <c r="B13" t="s">
        <v>34</v>
      </c>
      <c r="C13">
        <v>89</v>
      </c>
    </row>
    <row r="14" spans="1:14" x14ac:dyDescent="0.3">
      <c r="A14">
        <v>13</v>
      </c>
      <c r="B14" t="s">
        <v>35</v>
      </c>
      <c r="C14">
        <v>105</v>
      </c>
    </row>
    <row r="15" spans="1:14" x14ac:dyDescent="0.3">
      <c r="A15">
        <v>14</v>
      </c>
      <c r="B15" t="s">
        <v>36</v>
      </c>
      <c r="C15">
        <v>121</v>
      </c>
    </row>
    <row r="16" spans="1:14" x14ac:dyDescent="0.3">
      <c r="A16">
        <v>15</v>
      </c>
      <c r="B16" t="s">
        <v>37</v>
      </c>
      <c r="C16">
        <v>136</v>
      </c>
    </row>
    <row r="17" spans="1:3" x14ac:dyDescent="0.3">
      <c r="A17">
        <v>16</v>
      </c>
      <c r="B17" t="s">
        <v>38</v>
      </c>
      <c r="C17">
        <v>158</v>
      </c>
    </row>
    <row r="18" spans="1:3" x14ac:dyDescent="0.3">
      <c r="A18">
        <v>17</v>
      </c>
      <c r="B18" t="s">
        <v>39</v>
      </c>
      <c r="C18">
        <v>201</v>
      </c>
    </row>
    <row r="19" spans="1:3" x14ac:dyDescent="0.3">
      <c r="A19">
        <v>18</v>
      </c>
      <c r="B19" t="s">
        <v>40</v>
      </c>
      <c r="C19">
        <v>244</v>
      </c>
    </row>
    <row r="20" spans="1:3" x14ac:dyDescent="0.3">
      <c r="A20">
        <v>19</v>
      </c>
      <c r="B20" t="s">
        <v>41</v>
      </c>
      <c r="C20">
        <v>287</v>
      </c>
    </row>
    <row r="21" spans="1:3" x14ac:dyDescent="0.3">
      <c r="A21">
        <v>20</v>
      </c>
      <c r="B21" t="s">
        <v>42</v>
      </c>
      <c r="C21">
        <v>329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"/>
  <sheetViews>
    <sheetView workbookViewId="0">
      <selection activeCell="O14" sqref="O14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24</v>
      </c>
      <c r="C3">
        <v>14</v>
      </c>
    </row>
    <row r="4" spans="1:14" x14ac:dyDescent="0.3">
      <c r="A4">
        <v>3</v>
      </c>
      <c r="B4" t="s">
        <v>25</v>
      </c>
      <c r="C4">
        <v>16</v>
      </c>
    </row>
    <row r="5" spans="1:14" x14ac:dyDescent="0.3">
      <c r="A5">
        <v>4</v>
      </c>
      <c r="B5" t="s">
        <v>26</v>
      </c>
      <c r="C5">
        <v>20</v>
      </c>
    </row>
    <row r="6" spans="1:14" x14ac:dyDescent="0.3">
      <c r="A6">
        <v>5</v>
      </c>
      <c r="B6" t="s">
        <v>27</v>
      </c>
      <c r="C6">
        <v>21</v>
      </c>
    </row>
    <row r="7" spans="1:14" x14ac:dyDescent="0.3">
      <c r="A7">
        <v>6</v>
      </c>
      <c r="B7" t="s">
        <v>28</v>
      </c>
      <c r="C7">
        <v>26</v>
      </c>
    </row>
    <row r="8" spans="1:14" x14ac:dyDescent="0.3">
      <c r="A8">
        <v>7</v>
      </c>
      <c r="B8" t="s">
        <v>29</v>
      </c>
      <c r="C8">
        <v>30</v>
      </c>
    </row>
    <row r="9" spans="1:14" x14ac:dyDescent="0.3">
      <c r="A9">
        <v>8</v>
      </c>
      <c r="B9" t="s">
        <v>30</v>
      </c>
      <c r="C9">
        <v>35</v>
      </c>
    </row>
    <row r="10" spans="1:14" x14ac:dyDescent="0.3">
      <c r="A10">
        <v>9</v>
      </c>
      <c r="B10" t="s">
        <v>31</v>
      </c>
      <c r="C10">
        <v>39</v>
      </c>
    </row>
    <row r="11" spans="1:14" x14ac:dyDescent="0.3">
      <c r="A11">
        <v>10</v>
      </c>
      <c r="B11" t="s">
        <v>32</v>
      </c>
      <c r="C11">
        <v>43</v>
      </c>
    </row>
    <row r="12" spans="1:14" x14ac:dyDescent="0.3">
      <c r="A12">
        <v>11</v>
      </c>
      <c r="B12" t="s">
        <v>33</v>
      </c>
      <c r="C12">
        <v>51</v>
      </c>
    </row>
    <row r="13" spans="1:14" x14ac:dyDescent="0.3">
      <c r="A13">
        <v>12</v>
      </c>
      <c r="B13" t="s">
        <v>34</v>
      </c>
      <c r="C13">
        <v>62</v>
      </c>
    </row>
    <row r="14" spans="1:14" x14ac:dyDescent="0.3">
      <c r="A14">
        <v>13</v>
      </c>
      <c r="B14" t="s">
        <v>35</v>
      </c>
      <c r="C14">
        <v>73</v>
      </c>
    </row>
    <row r="15" spans="1:14" x14ac:dyDescent="0.3">
      <c r="A15">
        <v>14</v>
      </c>
      <c r="B15" t="s">
        <v>36</v>
      </c>
      <c r="C15">
        <v>84</v>
      </c>
    </row>
    <row r="16" spans="1:14" x14ac:dyDescent="0.3">
      <c r="A16">
        <v>15</v>
      </c>
      <c r="B16" t="s">
        <v>37</v>
      </c>
      <c r="C16">
        <v>95</v>
      </c>
    </row>
    <row r="17" spans="1:3" x14ac:dyDescent="0.3">
      <c r="A17">
        <v>16</v>
      </c>
      <c r="B17" t="s">
        <v>38</v>
      </c>
      <c r="C17">
        <v>110</v>
      </c>
    </row>
    <row r="18" spans="1:3" x14ac:dyDescent="0.3">
      <c r="A18">
        <v>17</v>
      </c>
      <c r="B18" t="s">
        <v>39</v>
      </c>
      <c r="C18">
        <v>140</v>
      </c>
    </row>
    <row r="19" spans="1:3" x14ac:dyDescent="0.3">
      <c r="A19">
        <v>18</v>
      </c>
      <c r="B19" t="s">
        <v>40</v>
      </c>
      <c r="C19">
        <v>170</v>
      </c>
    </row>
    <row r="20" spans="1:3" x14ac:dyDescent="0.3">
      <c r="A20">
        <v>19</v>
      </c>
      <c r="B20" t="s">
        <v>41</v>
      </c>
      <c r="C20">
        <v>199</v>
      </c>
    </row>
    <row r="21" spans="1:3" x14ac:dyDescent="0.3">
      <c r="A21">
        <v>20</v>
      </c>
      <c r="B21" t="s">
        <v>42</v>
      </c>
      <c r="C21">
        <v>229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1"/>
  <sheetViews>
    <sheetView workbookViewId="0">
      <selection activeCell="N5" sqref="N5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23</v>
      </c>
      <c r="H2" s="2">
        <f ca="1">SUM(INDIRECT("C" &amp; M2 &amp; ":C" &amp; N2))</f>
        <v>848</v>
      </c>
      <c r="M2">
        <v>17</v>
      </c>
      <c r="N2">
        <v>21</v>
      </c>
    </row>
    <row r="3" spans="1:14" x14ac:dyDescent="0.3">
      <c r="A3">
        <v>2</v>
      </c>
      <c r="B3" t="s">
        <v>24</v>
      </c>
      <c r="C3">
        <v>14</v>
      </c>
    </row>
    <row r="4" spans="1:14" x14ac:dyDescent="0.3">
      <c r="A4">
        <v>3</v>
      </c>
      <c r="B4" t="s">
        <v>25</v>
      </c>
      <c r="C4">
        <v>16</v>
      </c>
    </row>
    <row r="5" spans="1:14" x14ac:dyDescent="0.3">
      <c r="A5">
        <v>4</v>
      </c>
      <c r="B5" t="s">
        <v>26</v>
      </c>
      <c r="C5">
        <v>20</v>
      </c>
    </row>
    <row r="6" spans="1:14" x14ac:dyDescent="0.3">
      <c r="A6">
        <v>5</v>
      </c>
      <c r="B6" t="s">
        <v>27</v>
      </c>
      <c r="C6">
        <v>21</v>
      </c>
    </row>
    <row r="7" spans="1:14" x14ac:dyDescent="0.3">
      <c r="A7">
        <v>6</v>
      </c>
      <c r="B7" t="s">
        <v>28</v>
      </c>
      <c r="C7">
        <v>26</v>
      </c>
    </row>
    <row r="8" spans="1:14" x14ac:dyDescent="0.3">
      <c r="A8">
        <v>7</v>
      </c>
      <c r="B8" t="s">
        <v>29</v>
      </c>
      <c r="C8">
        <v>30</v>
      </c>
    </row>
    <row r="9" spans="1:14" x14ac:dyDescent="0.3">
      <c r="A9">
        <v>8</v>
      </c>
      <c r="B9" t="s">
        <v>30</v>
      </c>
      <c r="C9">
        <v>35</v>
      </c>
    </row>
    <row r="10" spans="1:14" x14ac:dyDescent="0.3">
      <c r="A10">
        <v>9</v>
      </c>
      <c r="B10" t="s">
        <v>31</v>
      </c>
      <c r="C10">
        <v>39</v>
      </c>
    </row>
    <row r="11" spans="1:14" x14ac:dyDescent="0.3">
      <c r="A11">
        <v>10</v>
      </c>
      <c r="B11" t="s">
        <v>32</v>
      </c>
      <c r="C11">
        <v>43</v>
      </c>
    </row>
    <row r="12" spans="1:14" x14ac:dyDescent="0.3">
      <c r="A12">
        <v>11</v>
      </c>
      <c r="B12" t="s">
        <v>33</v>
      </c>
      <c r="C12">
        <v>51</v>
      </c>
    </row>
    <row r="13" spans="1:14" x14ac:dyDescent="0.3">
      <c r="A13">
        <v>12</v>
      </c>
      <c r="B13" t="s">
        <v>34</v>
      </c>
      <c r="C13">
        <v>62</v>
      </c>
    </row>
    <row r="14" spans="1:14" x14ac:dyDescent="0.3">
      <c r="A14">
        <v>13</v>
      </c>
      <c r="B14" t="s">
        <v>35</v>
      </c>
      <c r="C14">
        <v>73</v>
      </c>
    </row>
    <row r="15" spans="1:14" x14ac:dyDescent="0.3">
      <c r="A15">
        <v>14</v>
      </c>
      <c r="B15" t="s">
        <v>36</v>
      </c>
      <c r="C15">
        <v>84</v>
      </c>
    </row>
    <row r="16" spans="1:14" x14ac:dyDescent="0.3">
      <c r="A16">
        <v>15</v>
      </c>
      <c r="B16" t="s">
        <v>37</v>
      </c>
      <c r="C16">
        <v>95</v>
      </c>
    </row>
    <row r="17" spans="1:3" x14ac:dyDescent="0.3">
      <c r="A17">
        <v>16</v>
      </c>
      <c r="B17" t="s">
        <v>38</v>
      </c>
      <c r="C17">
        <v>110</v>
      </c>
    </row>
    <row r="18" spans="1:3" x14ac:dyDescent="0.3">
      <c r="A18">
        <v>17</v>
      </c>
      <c r="B18" t="s">
        <v>39</v>
      </c>
      <c r="C18">
        <v>140</v>
      </c>
    </row>
    <row r="19" spans="1:3" x14ac:dyDescent="0.3">
      <c r="A19">
        <v>18</v>
      </c>
      <c r="B19" t="s">
        <v>40</v>
      </c>
      <c r="C19">
        <v>170</v>
      </c>
    </row>
    <row r="20" spans="1:3" x14ac:dyDescent="0.3">
      <c r="A20">
        <v>19</v>
      </c>
      <c r="B20" t="s">
        <v>41</v>
      </c>
      <c r="C20">
        <v>199</v>
      </c>
    </row>
    <row r="21" spans="1:3" x14ac:dyDescent="0.3">
      <c r="A21">
        <v>20</v>
      </c>
      <c r="B21" t="s">
        <v>42</v>
      </c>
      <c r="C21">
        <v>229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1"/>
  <sheetViews>
    <sheetView workbookViewId="0">
      <selection activeCell="N14" sqref="N14"/>
    </sheetView>
  </sheetViews>
  <sheetFormatPr defaultRowHeight="14.4" x14ac:dyDescent="0.3"/>
  <cols>
    <col min="1" max="3" width="28" customWidth="1"/>
  </cols>
  <sheetData>
    <row r="1" spans="1:14" x14ac:dyDescent="0.3">
      <c r="A1" t="s">
        <v>0</v>
      </c>
      <c r="B1" t="s">
        <v>1</v>
      </c>
      <c r="C1" t="s">
        <v>2</v>
      </c>
      <c r="H1" s="1" t="s">
        <v>122</v>
      </c>
      <c r="M1" s="3" t="s">
        <v>120</v>
      </c>
      <c r="N1" s="3" t="s">
        <v>121</v>
      </c>
    </row>
    <row r="2" spans="1:14" x14ac:dyDescent="0.3">
      <c r="A2">
        <v>1</v>
      </c>
      <c r="B2" t="s">
        <v>3</v>
      </c>
      <c r="H2" s="2">
        <f ca="1">SUM(INDIRECT("C" &amp; M2 &amp; ":C" &amp; N2))</f>
        <v>0</v>
      </c>
      <c r="M2">
        <v>1</v>
      </c>
      <c r="N2">
        <v>1</v>
      </c>
    </row>
    <row r="3" spans="1:14" x14ac:dyDescent="0.3">
      <c r="A3">
        <v>2</v>
      </c>
      <c r="B3" t="s">
        <v>43</v>
      </c>
      <c r="C3">
        <v>29</v>
      </c>
    </row>
    <row r="4" spans="1:14" x14ac:dyDescent="0.3">
      <c r="A4">
        <v>3</v>
      </c>
      <c r="B4" t="s">
        <v>44</v>
      </c>
      <c r="C4">
        <v>32</v>
      </c>
    </row>
    <row r="5" spans="1:14" x14ac:dyDescent="0.3">
      <c r="A5">
        <v>4</v>
      </c>
      <c r="B5" t="s">
        <v>45</v>
      </c>
      <c r="C5">
        <v>40</v>
      </c>
    </row>
    <row r="6" spans="1:14" x14ac:dyDescent="0.3">
      <c r="A6">
        <v>5</v>
      </c>
      <c r="B6" t="s">
        <v>46</v>
      </c>
      <c r="C6">
        <v>43</v>
      </c>
    </row>
    <row r="7" spans="1:14" x14ac:dyDescent="0.3">
      <c r="A7">
        <v>6</v>
      </c>
      <c r="B7" t="s">
        <v>23</v>
      </c>
      <c r="C7">
        <v>52</v>
      </c>
    </row>
    <row r="8" spans="1:14" x14ac:dyDescent="0.3">
      <c r="A8">
        <v>7</v>
      </c>
      <c r="B8" t="s">
        <v>47</v>
      </c>
      <c r="C8">
        <v>61</v>
      </c>
    </row>
    <row r="9" spans="1:14" x14ac:dyDescent="0.3">
      <c r="A9">
        <v>8</v>
      </c>
      <c r="B9" t="s">
        <v>48</v>
      </c>
      <c r="C9">
        <v>70</v>
      </c>
    </row>
    <row r="10" spans="1:14" x14ac:dyDescent="0.3">
      <c r="A10">
        <v>9</v>
      </c>
      <c r="B10" t="s">
        <v>49</v>
      </c>
      <c r="C10">
        <v>78</v>
      </c>
    </row>
    <row r="11" spans="1:14" x14ac:dyDescent="0.3">
      <c r="A11">
        <v>10</v>
      </c>
      <c r="B11" t="s">
        <v>50</v>
      </c>
      <c r="C11">
        <v>87</v>
      </c>
    </row>
    <row r="12" spans="1:14" x14ac:dyDescent="0.3">
      <c r="A12">
        <v>11</v>
      </c>
      <c r="B12" t="s">
        <v>51</v>
      </c>
      <c r="C12">
        <v>102</v>
      </c>
    </row>
    <row r="13" spans="1:14" x14ac:dyDescent="0.3">
      <c r="A13">
        <v>12</v>
      </c>
      <c r="B13" t="s">
        <v>52</v>
      </c>
      <c r="C13">
        <v>124</v>
      </c>
    </row>
    <row r="14" spans="1:14" x14ac:dyDescent="0.3">
      <c r="A14">
        <v>13</v>
      </c>
      <c r="B14" t="s">
        <v>53</v>
      </c>
      <c r="C14">
        <v>146</v>
      </c>
    </row>
    <row r="15" spans="1:14" x14ac:dyDescent="0.3">
      <c r="A15">
        <v>14</v>
      </c>
      <c r="B15" t="s">
        <v>54</v>
      </c>
      <c r="C15">
        <v>168</v>
      </c>
    </row>
    <row r="16" spans="1:14" x14ac:dyDescent="0.3">
      <c r="A16">
        <v>15</v>
      </c>
      <c r="B16" t="s">
        <v>55</v>
      </c>
      <c r="C16">
        <v>190</v>
      </c>
    </row>
    <row r="17" spans="1:3" x14ac:dyDescent="0.3">
      <c r="A17">
        <v>16</v>
      </c>
      <c r="B17" t="s">
        <v>56</v>
      </c>
      <c r="C17">
        <v>220</v>
      </c>
    </row>
    <row r="18" spans="1:3" x14ac:dyDescent="0.3">
      <c r="A18">
        <v>17</v>
      </c>
      <c r="B18" t="s">
        <v>57</v>
      </c>
      <c r="C18">
        <v>279</v>
      </c>
    </row>
    <row r="19" spans="1:3" x14ac:dyDescent="0.3">
      <c r="A19">
        <v>18</v>
      </c>
      <c r="B19" t="s">
        <v>58</v>
      </c>
      <c r="C19">
        <v>339</v>
      </c>
    </row>
    <row r="20" spans="1:3" x14ac:dyDescent="0.3">
      <c r="A20">
        <v>19</v>
      </c>
      <c r="B20" t="s">
        <v>59</v>
      </c>
      <c r="C20">
        <v>398</v>
      </c>
    </row>
    <row r="21" spans="1:3" x14ac:dyDescent="0.3">
      <c r="A21">
        <v>20</v>
      </c>
      <c r="B21" t="s">
        <v>60</v>
      </c>
      <c r="C21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Flight Cabin Expansion</vt:lpstr>
      <vt:lpstr>Strength Expansion</vt:lpstr>
      <vt:lpstr>Diversified Air Force</vt:lpstr>
      <vt:lpstr>Long-range Expansion</vt:lpstr>
      <vt:lpstr>Assault Expansion</vt:lpstr>
      <vt:lpstr>Wings</vt:lpstr>
      <vt:lpstr>Targeted Support</vt:lpstr>
      <vt:lpstr>Spring of Life</vt:lpstr>
      <vt:lpstr>Air Force Equipment</vt:lpstr>
      <vt:lpstr>Heroic Inspiration</vt:lpstr>
      <vt:lpstr>Landing Cover</vt:lpstr>
      <vt:lpstr>Morale Boost</vt:lpstr>
      <vt:lpstr>Armor</vt:lpstr>
      <vt:lpstr>Firepower Enhancement</vt:lpstr>
      <vt:lpstr>Power Duel Attack</vt:lpstr>
      <vt:lpstr>Combat Command</vt:lpstr>
      <vt:lpstr>Air Defense</vt:lpstr>
      <vt:lpstr>Power Duel Defense</vt:lpstr>
      <vt:lpstr>Collective Airpower</vt:lpstr>
      <vt:lpstr>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Pashuk</cp:lastModifiedBy>
  <dcterms:created xsi:type="dcterms:W3CDTF">2026-05-19T22:03:10Z</dcterms:created>
  <dcterms:modified xsi:type="dcterms:W3CDTF">2026-06-17T08:57:33Z</dcterms:modified>
</cp:coreProperties>
</file>