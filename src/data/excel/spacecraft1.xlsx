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13_ncr:1_{9CDAFA9B-26DB-4E8D-BAF8-D1E69F58CEAE}" xr6:coauthVersionLast="36" xr6:coauthVersionMax="36" xr10:uidLastSave="{00000000-0000-0000-0000-000000000000}"/>
  <bookViews>
    <workbookView xWindow="0" yWindow="0" windowWidth="23040" windowHeight="10248" activeTab="8" xr2:uid="{00000000-000D-0000-FFFF-FFFF00000000}"/>
  </bookViews>
  <sheets>
    <sheet name="Capsule_1" sheetId="1" r:id="rId1"/>
    <sheet name="Capsule_2" sheetId="5" r:id="rId2"/>
    <sheet name="Capsule_3" sheetId="6" r:id="rId3"/>
    <sheet name="AC04" sheetId="7" r:id="rId4"/>
    <sheet name="Enterprise Capsule_1" sheetId="8" r:id="rId5"/>
    <sheet name="Enterprise Capsule_2" sheetId="13" r:id="rId6"/>
    <sheet name="Enterprise Capsule_3" sheetId="12" r:id="rId7"/>
    <sheet name="Enterprise Capsule_4" sheetId="11" r:id="rId8"/>
    <sheet name="Enterprise Capsule_5" sheetId="10" r:id="rId9"/>
  </sheets>
  <calcPr calcId="191029"/>
</workbook>
</file>

<file path=xl/calcChain.xml><?xml version="1.0" encoding="utf-8"?>
<calcChain xmlns="http://schemas.openxmlformats.org/spreadsheetml/2006/main">
  <c r="C52" i="10" l="1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2" i="1"/>
  <c r="C2" i="5"/>
  <c r="C2" i="6"/>
  <c r="C2" i="7"/>
  <c r="C2" i="8"/>
  <c r="C2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7" i="8" l="1"/>
  <c r="C6" i="8"/>
  <c r="C5" i="8"/>
  <c r="C4" i="8"/>
  <c r="C3" i="8"/>
  <c r="G2" i="11"/>
  <c r="F2" i="11"/>
  <c r="H2" i="10"/>
  <c r="G2" i="10"/>
  <c r="F2" i="10"/>
  <c r="F2" i="13"/>
  <c r="H2" i="13"/>
  <c r="G2" i="13"/>
  <c r="G2" i="12"/>
  <c r="G2" i="8"/>
  <c r="H2" i="12"/>
  <c r="F2" i="8"/>
  <c r="F2" i="12"/>
  <c r="H2" i="8"/>
  <c r="H2" i="11"/>
  <c r="I2" i="13" l="1"/>
  <c r="J2" i="13"/>
  <c r="J2" i="12"/>
  <c r="I2" i="12"/>
  <c r="I2" i="11"/>
  <c r="J2" i="11"/>
  <c r="I2" i="10"/>
  <c r="J2" i="10"/>
  <c r="J2" i="8"/>
  <c r="I2" i="8"/>
  <c r="R21" i="7"/>
  <c r="R20" i="7"/>
  <c r="R19" i="7"/>
  <c r="C53" i="7" l="1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3" i="1"/>
  <c r="F2" i="6"/>
  <c r="F2" i="5"/>
  <c r="H2" i="7"/>
  <c r="F2" i="7"/>
  <c r="G2" i="6"/>
  <c r="F2" i="1"/>
  <c r="H2" i="5"/>
  <c r="G2" i="1"/>
  <c r="H2" i="6"/>
  <c r="G2" i="7"/>
  <c r="H2" i="1"/>
  <c r="G2" i="5"/>
  <c r="I2" i="7" l="1"/>
  <c r="J2" i="7"/>
  <c r="I2" i="6"/>
  <c r="J2" i="6"/>
  <c r="J2" i="5"/>
  <c r="I2" i="5"/>
  <c r="J2" i="1"/>
  <c r="I2" i="1"/>
</calcChain>
</file>

<file path=xl/sharedStrings.xml><?xml version="1.0" encoding="utf-8"?>
<sst xmlns="http://schemas.openxmlformats.org/spreadsheetml/2006/main" count="543" uniqueCount="80">
  <si>
    <t>Tier</t>
  </si>
  <si>
    <t>Health/Lethality</t>
  </si>
  <si>
    <t>Green 1-1</t>
  </si>
  <si>
    <t>-</t>
  </si>
  <si>
    <t>Green 1-2</t>
  </si>
  <si>
    <t>Green 1-3</t>
  </si>
  <si>
    <t>Green 1-4</t>
  </si>
  <si>
    <t>Green 1-5</t>
  </si>
  <si>
    <t>Green Ascend</t>
  </si>
  <si>
    <t>Green+ 2-2</t>
  </si>
  <si>
    <t>Green+ 2-3</t>
  </si>
  <si>
    <t>Green+ 2-4</t>
  </si>
  <si>
    <t>Green+ 2-5</t>
  </si>
  <si>
    <t>Green+ Ascend</t>
  </si>
  <si>
    <t>Blue 1-2</t>
  </si>
  <si>
    <t>Blue 1-3</t>
  </si>
  <si>
    <t>Blue 1-4</t>
  </si>
  <si>
    <t>Blue 1-5</t>
  </si>
  <si>
    <t>Blue Ascend</t>
  </si>
  <si>
    <t>Blue+ 2-2</t>
  </si>
  <si>
    <t>Blue+ 2-3</t>
  </si>
  <si>
    <t>Blue+ 2-4</t>
  </si>
  <si>
    <t>Blue+ 2-5</t>
  </si>
  <si>
    <t>Blue+ Ascend</t>
  </si>
  <si>
    <t>Blue++ 3-2</t>
  </si>
  <si>
    <t>Blue++ 3-3</t>
  </si>
  <si>
    <t>Blue++ 3-4</t>
  </si>
  <si>
    <t>Blue++ 3-5</t>
  </si>
  <si>
    <t>Blue++ Ascend</t>
  </si>
  <si>
    <t>Purple 1-2</t>
  </si>
  <si>
    <t>Purple 1-3</t>
  </si>
  <si>
    <t>Purple 1-4</t>
  </si>
  <si>
    <t>Purple 1-5</t>
  </si>
  <si>
    <t>Purple Ascend</t>
  </si>
  <si>
    <t>Purple+ 2-2</t>
  </si>
  <si>
    <t>Purple+ 2-3</t>
  </si>
  <si>
    <t>Purple+ 2-4</t>
  </si>
  <si>
    <t>Purple+ 2-5</t>
  </si>
  <si>
    <t>Purple+ Ascend</t>
  </si>
  <si>
    <t>Purple++ 3-2</t>
  </si>
  <si>
    <t>Purple++ 3-3</t>
  </si>
  <si>
    <t>Purple++ 3-4</t>
  </si>
  <si>
    <t>Purple++ 3-5</t>
  </si>
  <si>
    <t>Purple++ Ascend</t>
  </si>
  <si>
    <t>Orange 1-2</t>
  </si>
  <si>
    <t>Orange 1-3</t>
  </si>
  <si>
    <t>Orange 1-4</t>
  </si>
  <si>
    <t>Orange 1-5</t>
  </si>
  <si>
    <t>Orange Ascend</t>
  </si>
  <si>
    <t>Orange+/++ 2-2</t>
  </si>
  <si>
    <t>Orange+/++ 2-3</t>
  </si>
  <si>
    <t>Orange+/++ 2-4</t>
  </si>
  <si>
    <t>Orange+/++ 2-5</t>
  </si>
  <si>
    <t>Orange+/++ Ascend</t>
  </si>
  <si>
    <t>Health/Lethality SUM</t>
  </si>
  <si>
    <t>Fiber Cost</t>
  </si>
  <si>
    <t>Boards Cost</t>
  </si>
  <si>
    <t>Boards SUM</t>
  </si>
  <si>
    <t>Start row</t>
  </si>
  <si>
    <t>End row</t>
  </si>
  <si>
    <t>99 diamonds boards</t>
  </si>
  <si>
    <t>99 diamonds fiber</t>
  </si>
  <si>
    <t>Bundles quantity for boards</t>
  </si>
  <si>
    <t>Bundles quantity for fiber</t>
  </si>
  <si>
    <t>Fiber SUM</t>
  </si>
  <si>
    <t>Health/Lethality Diff</t>
  </si>
  <si>
    <t>Coating Cost</t>
  </si>
  <si>
    <t>Alloy Cost</t>
  </si>
  <si>
    <t>Coating SUM</t>
  </si>
  <si>
    <t>Alloy SUM</t>
  </si>
  <si>
    <t>Bundles quantity for coating</t>
  </si>
  <si>
    <t>Bundles quantity for alloy</t>
  </si>
  <si>
    <t>99 diamonds coating</t>
  </si>
  <si>
    <t>99 diamonds alloy</t>
  </si>
  <si>
    <t>1.91$</t>
  </si>
  <si>
    <t>299 diamonds fiber</t>
  </si>
  <si>
    <t>Fuel Cost</t>
  </si>
  <si>
    <t>Fuel SUM</t>
  </si>
  <si>
    <t>Bundles quantity for fuel</t>
  </si>
  <si>
    <t>299 diamonds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</si>
</sst>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"/>
  <sheetViews>
    <sheetView workbookViewId="0">
      <selection activeCell="C3" sqref="C3"/>
    </sheetView>
  </sheetViews>
  <sheetFormatPr defaultRowHeight="14.4" x14ac:dyDescent="0.3"/>
  <cols>
    <col min="1" max="1" width="20" customWidth="1"/>
    <col min="2" max="3" width="19" customWidth="1"/>
    <col min="4" max="4" width="13.77734375" customWidth="1"/>
    <col min="5" max="5" width="12" customWidth="1"/>
    <col min="6" max="6" width="20.77734375" customWidth="1"/>
    <col min="7" max="8" width="17.6640625" customWidth="1"/>
    <col min="9" max="9" width="25" customWidth="1"/>
    <col min="10" max="10" width="23.77734375" customWidth="1"/>
    <col min="11" max="11" width="17.6640625" customWidth="1"/>
    <col min="14" max="14" width="30.21875" customWidth="1"/>
    <col min="15" max="15" width="24.77734375" customWidth="1"/>
    <col min="23" max="24" width="17.77734375" customWidth="1"/>
  </cols>
  <sheetData>
    <row r="1" spans="1:24" x14ac:dyDescent="0.3">
      <c r="A1" s="1" t="s">
        <v>0</v>
      </c>
      <c r="B1" s="3" t="s">
        <v>1</v>
      </c>
      <c r="C1" s="3" t="s">
        <v>65</v>
      </c>
      <c r="D1" s="3" t="s">
        <v>56</v>
      </c>
      <c r="E1" s="3" t="s">
        <v>55</v>
      </c>
      <c r="F1" s="3" t="s">
        <v>54</v>
      </c>
      <c r="G1" s="2" t="s">
        <v>57</v>
      </c>
      <c r="H1" s="2" t="s">
        <v>64</v>
      </c>
      <c r="I1" s="2" t="s">
        <v>62</v>
      </c>
      <c r="J1" s="2" t="s">
        <v>63</v>
      </c>
      <c r="K1" s="2"/>
      <c r="L1" s="3" t="s">
        <v>58</v>
      </c>
      <c r="M1" s="3" t="s">
        <v>59</v>
      </c>
      <c r="N1" s="3"/>
      <c r="O1" s="3"/>
      <c r="W1" t="s">
        <v>60</v>
      </c>
      <c r="X1" t="s">
        <v>61</v>
      </c>
    </row>
    <row r="2" spans="1:24" x14ac:dyDescent="0.3">
      <c r="A2" t="s">
        <v>2</v>
      </c>
      <c r="B2" s="4">
        <v>1.2800000000000001E-2</v>
      </c>
      <c r="C2" s="4">
        <f>B2</f>
        <v>1.2800000000000001E-2</v>
      </c>
      <c r="D2" t="s">
        <v>3</v>
      </c>
      <c r="E2" t="s">
        <v>3</v>
      </c>
      <c r="F2" s="4">
        <f ca="1">SUM(INDIRECT("C" &amp; L2 &amp; ":C" &amp; M2))</f>
        <v>0.32089999999999996</v>
      </c>
      <c r="G2" s="5">
        <f ca="1">SUM(INDIRECT("D" &amp; L2 &amp; ":D" &amp; M2))</f>
        <v>615</v>
      </c>
      <c r="H2" s="5">
        <f ca="1">SUM(INDIRECT("E" &amp; L2 &amp; ":E" &amp; M2))</f>
        <v>1150</v>
      </c>
      <c r="I2" s="5">
        <f ca="1">G2/W2</f>
        <v>61.5</v>
      </c>
      <c r="J2" s="5">
        <f ca="1">H2/X2</f>
        <v>23</v>
      </c>
      <c r="K2" s="5"/>
      <c r="L2">
        <v>28</v>
      </c>
      <c r="M2">
        <v>52</v>
      </c>
      <c r="W2">
        <v>10</v>
      </c>
      <c r="X2">
        <v>50</v>
      </c>
    </row>
    <row r="3" spans="1:24" x14ac:dyDescent="0.3">
      <c r="A3" t="s">
        <v>4</v>
      </c>
      <c r="B3" s="4">
        <v>2.5700000000000001E-2</v>
      </c>
      <c r="C3" s="4">
        <f>B3-B2</f>
        <v>1.29E-2</v>
      </c>
      <c r="D3">
        <v>3</v>
      </c>
      <c r="E3">
        <v>10</v>
      </c>
    </row>
    <row r="4" spans="1:24" x14ac:dyDescent="0.3">
      <c r="A4" t="s">
        <v>5</v>
      </c>
      <c r="B4" s="4">
        <v>3.85E-2</v>
      </c>
      <c r="C4" s="4">
        <f t="shared" ref="C4:C52" si="0">B4-B3</f>
        <v>1.2799999999999999E-2</v>
      </c>
      <c r="D4">
        <v>3</v>
      </c>
      <c r="E4">
        <v>10</v>
      </c>
    </row>
    <row r="5" spans="1:24" x14ac:dyDescent="0.3">
      <c r="A5" t="s">
        <v>6</v>
      </c>
      <c r="B5" s="4">
        <v>5.1299999999999998E-2</v>
      </c>
      <c r="C5" s="4">
        <f t="shared" si="0"/>
        <v>1.2799999999999999E-2</v>
      </c>
      <c r="D5">
        <v>3</v>
      </c>
      <c r="E5">
        <v>10</v>
      </c>
    </row>
    <row r="6" spans="1:24" x14ac:dyDescent="0.3">
      <c r="A6" t="s">
        <v>7</v>
      </c>
      <c r="B6" s="4">
        <v>6.4199999999999993E-2</v>
      </c>
      <c r="C6" s="4">
        <f t="shared" si="0"/>
        <v>1.2899999999999995E-2</v>
      </c>
      <c r="D6">
        <v>3</v>
      </c>
      <c r="E6">
        <v>10</v>
      </c>
    </row>
    <row r="7" spans="1:24" x14ac:dyDescent="0.3">
      <c r="A7" t="s">
        <v>8</v>
      </c>
      <c r="B7" s="4">
        <v>7.6999999999999999E-2</v>
      </c>
      <c r="C7" s="4">
        <f t="shared" si="0"/>
        <v>1.2800000000000006E-2</v>
      </c>
      <c r="D7">
        <v>6</v>
      </c>
      <c r="E7">
        <v>15</v>
      </c>
    </row>
    <row r="8" spans="1:24" x14ac:dyDescent="0.3">
      <c r="A8" t="s">
        <v>9</v>
      </c>
      <c r="B8" s="4">
        <v>8.9899999999999994E-2</v>
      </c>
      <c r="C8" s="4">
        <f t="shared" si="0"/>
        <v>1.2899999999999995E-2</v>
      </c>
      <c r="D8">
        <v>6</v>
      </c>
      <c r="E8">
        <v>15</v>
      </c>
    </row>
    <row r="9" spans="1:24" x14ac:dyDescent="0.3">
      <c r="A9" t="s">
        <v>10</v>
      </c>
      <c r="B9" s="4">
        <v>0.1027</v>
      </c>
      <c r="C9" s="4">
        <f t="shared" si="0"/>
        <v>1.2800000000000006E-2</v>
      </c>
      <c r="D9">
        <v>6</v>
      </c>
      <c r="E9">
        <v>15</v>
      </c>
      <c r="O9" t="s">
        <v>74</v>
      </c>
    </row>
    <row r="10" spans="1:24" x14ac:dyDescent="0.3">
      <c r="A10" t="s">
        <v>11</v>
      </c>
      <c r="B10" s="4">
        <v>0.11550000000000001</v>
      </c>
      <c r="C10" s="4">
        <f t="shared" si="0"/>
        <v>1.2800000000000006E-2</v>
      </c>
      <c r="D10">
        <v>6</v>
      </c>
      <c r="E10">
        <v>15</v>
      </c>
    </row>
    <row r="11" spans="1:24" x14ac:dyDescent="0.3">
      <c r="A11" t="s">
        <v>12</v>
      </c>
      <c r="B11" s="4">
        <v>0.12839999999999999</v>
      </c>
      <c r="C11" s="4">
        <f t="shared" si="0"/>
        <v>1.2899999999999981E-2</v>
      </c>
      <c r="D11">
        <v>6</v>
      </c>
      <c r="E11">
        <v>15</v>
      </c>
    </row>
    <row r="12" spans="1:24" x14ac:dyDescent="0.3">
      <c r="A12" t="s">
        <v>13</v>
      </c>
      <c r="B12" s="4">
        <v>0.14119999999999999</v>
      </c>
      <c r="C12" s="4">
        <f t="shared" si="0"/>
        <v>1.2800000000000006E-2</v>
      </c>
      <c r="D12">
        <v>9</v>
      </c>
      <c r="E12">
        <v>20</v>
      </c>
    </row>
    <row r="13" spans="1:24" x14ac:dyDescent="0.3">
      <c r="A13" t="s">
        <v>14</v>
      </c>
      <c r="B13" s="4">
        <v>0.154</v>
      </c>
      <c r="C13" s="4">
        <f t="shared" si="0"/>
        <v>1.2800000000000006E-2</v>
      </c>
      <c r="D13">
        <v>9</v>
      </c>
      <c r="E13">
        <v>20</v>
      </c>
    </row>
    <row r="14" spans="1:24" x14ac:dyDescent="0.3">
      <c r="A14" t="s">
        <v>15</v>
      </c>
      <c r="B14" s="4">
        <v>0.16689999999999999</v>
      </c>
      <c r="C14" s="4">
        <f t="shared" si="0"/>
        <v>1.2899999999999995E-2</v>
      </c>
      <c r="D14">
        <v>9</v>
      </c>
      <c r="E14">
        <v>20</v>
      </c>
    </row>
    <row r="15" spans="1:24" x14ac:dyDescent="0.3">
      <c r="A15" t="s">
        <v>16</v>
      </c>
      <c r="B15" s="4">
        <v>0.1797</v>
      </c>
      <c r="C15" s="4">
        <f t="shared" si="0"/>
        <v>1.2800000000000006E-2</v>
      </c>
      <c r="D15">
        <v>9</v>
      </c>
      <c r="E15">
        <v>20</v>
      </c>
    </row>
    <row r="16" spans="1:24" x14ac:dyDescent="0.3">
      <c r="A16" t="s">
        <v>17</v>
      </c>
      <c r="B16" s="4">
        <v>0.1925</v>
      </c>
      <c r="C16" s="4">
        <f t="shared" si="0"/>
        <v>1.2800000000000006E-2</v>
      </c>
      <c r="D16">
        <v>9</v>
      </c>
      <c r="E16">
        <v>20</v>
      </c>
    </row>
    <row r="17" spans="1:5" x14ac:dyDescent="0.3">
      <c r="A17" t="s">
        <v>18</v>
      </c>
      <c r="B17" s="4">
        <v>0.2054</v>
      </c>
      <c r="C17" s="4">
        <f t="shared" si="0"/>
        <v>1.2899999999999995E-2</v>
      </c>
      <c r="D17">
        <v>12</v>
      </c>
      <c r="E17">
        <v>25</v>
      </c>
    </row>
    <row r="18" spans="1:5" x14ac:dyDescent="0.3">
      <c r="A18" t="s">
        <v>19</v>
      </c>
      <c r="B18" s="4">
        <v>0.21820000000000001</v>
      </c>
      <c r="C18" s="4">
        <f t="shared" si="0"/>
        <v>1.2800000000000006E-2</v>
      </c>
      <c r="D18">
        <v>12</v>
      </c>
      <c r="E18">
        <v>25</v>
      </c>
    </row>
    <row r="19" spans="1:5" x14ac:dyDescent="0.3">
      <c r="A19" t="s">
        <v>20</v>
      </c>
      <c r="B19" s="4">
        <v>0.2311</v>
      </c>
      <c r="C19" s="4">
        <f t="shared" si="0"/>
        <v>1.2899999999999995E-2</v>
      </c>
      <c r="D19">
        <v>12</v>
      </c>
      <c r="E19">
        <v>25</v>
      </c>
    </row>
    <row r="20" spans="1:5" x14ac:dyDescent="0.3">
      <c r="A20" t="s">
        <v>21</v>
      </c>
      <c r="B20" s="4">
        <v>0.24390000000000001</v>
      </c>
      <c r="C20" s="4">
        <f t="shared" si="0"/>
        <v>1.2800000000000006E-2</v>
      </c>
      <c r="D20">
        <v>12</v>
      </c>
      <c r="E20">
        <v>25</v>
      </c>
    </row>
    <row r="21" spans="1:5" x14ac:dyDescent="0.3">
      <c r="A21" t="s">
        <v>22</v>
      </c>
      <c r="B21" s="4">
        <v>0.25669999999999998</v>
      </c>
      <c r="C21" s="4">
        <f t="shared" si="0"/>
        <v>1.2799999999999978E-2</v>
      </c>
      <c r="D21">
        <v>12</v>
      </c>
      <c r="E21">
        <v>25</v>
      </c>
    </row>
    <row r="22" spans="1:5" x14ac:dyDescent="0.3">
      <c r="A22" t="s">
        <v>23</v>
      </c>
      <c r="B22" s="4">
        <v>0.26960000000000001</v>
      </c>
      <c r="C22" s="4">
        <f t="shared" si="0"/>
        <v>1.2900000000000023E-2</v>
      </c>
      <c r="D22">
        <v>15</v>
      </c>
      <c r="E22">
        <v>30</v>
      </c>
    </row>
    <row r="23" spans="1:5" x14ac:dyDescent="0.3">
      <c r="A23" t="s">
        <v>24</v>
      </c>
      <c r="B23" s="4">
        <v>0.28239999999999998</v>
      </c>
      <c r="C23" s="4">
        <f t="shared" si="0"/>
        <v>1.2799999999999978E-2</v>
      </c>
      <c r="D23">
        <v>15</v>
      </c>
      <c r="E23">
        <v>30</v>
      </c>
    </row>
    <row r="24" spans="1:5" x14ac:dyDescent="0.3">
      <c r="A24" t="s">
        <v>25</v>
      </c>
      <c r="B24" s="4">
        <v>0.29520000000000002</v>
      </c>
      <c r="C24" s="4">
        <f t="shared" si="0"/>
        <v>1.2800000000000034E-2</v>
      </c>
      <c r="D24">
        <v>15</v>
      </c>
      <c r="E24">
        <v>30</v>
      </c>
    </row>
    <row r="25" spans="1:5" x14ac:dyDescent="0.3">
      <c r="A25" t="s">
        <v>26</v>
      </c>
      <c r="B25" s="4">
        <v>0.30809999999999998</v>
      </c>
      <c r="C25" s="4">
        <f t="shared" si="0"/>
        <v>1.2899999999999967E-2</v>
      </c>
      <c r="D25">
        <v>15</v>
      </c>
      <c r="E25">
        <v>30</v>
      </c>
    </row>
    <row r="26" spans="1:5" x14ac:dyDescent="0.3">
      <c r="A26" t="s">
        <v>27</v>
      </c>
      <c r="B26" s="4">
        <v>0.32090000000000002</v>
      </c>
      <c r="C26" s="4">
        <f t="shared" si="0"/>
        <v>1.2800000000000034E-2</v>
      </c>
      <c r="D26">
        <v>15</v>
      </c>
      <c r="E26">
        <v>30</v>
      </c>
    </row>
    <row r="27" spans="1:5" x14ac:dyDescent="0.3">
      <c r="A27" t="s">
        <v>28</v>
      </c>
      <c r="B27" s="4">
        <v>0.33379999999999999</v>
      </c>
      <c r="C27" s="4">
        <f t="shared" si="0"/>
        <v>1.2899999999999967E-2</v>
      </c>
      <c r="D27">
        <v>18</v>
      </c>
      <c r="E27">
        <v>35</v>
      </c>
    </row>
    <row r="28" spans="1:5" x14ac:dyDescent="0.3">
      <c r="A28" t="s">
        <v>29</v>
      </c>
      <c r="B28" s="4">
        <v>0.34660000000000002</v>
      </c>
      <c r="C28" s="4">
        <f t="shared" si="0"/>
        <v>1.2800000000000034E-2</v>
      </c>
      <c r="D28">
        <v>18</v>
      </c>
      <c r="E28">
        <v>35</v>
      </c>
    </row>
    <row r="29" spans="1:5" x14ac:dyDescent="0.3">
      <c r="A29" t="s">
        <v>30</v>
      </c>
      <c r="B29" s="4">
        <v>0.3594</v>
      </c>
      <c r="C29" s="4">
        <f t="shared" si="0"/>
        <v>1.2799999999999978E-2</v>
      </c>
      <c r="D29">
        <v>18</v>
      </c>
      <c r="E29">
        <v>35</v>
      </c>
    </row>
    <row r="30" spans="1:5" x14ac:dyDescent="0.3">
      <c r="A30" t="s">
        <v>31</v>
      </c>
      <c r="B30" s="4">
        <v>0.37230000000000002</v>
      </c>
      <c r="C30" s="4">
        <f t="shared" si="0"/>
        <v>1.2900000000000023E-2</v>
      </c>
      <c r="D30">
        <v>18</v>
      </c>
      <c r="E30">
        <v>35</v>
      </c>
    </row>
    <row r="31" spans="1:5" x14ac:dyDescent="0.3">
      <c r="A31" t="s">
        <v>32</v>
      </c>
      <c r="B31" s="4">
        <v>0.3851</v>
      </c>
      <c r="C31" s="4">
        <f t="shared" si="0"/>
        <v>1.2799999999999978E-2</v>
      </c>
      <c r="D31">
        <v>18</v>
      </c>
      <c r="E31">
        <v>35</v>
      </c>
    </row>
    <row r="32" spans="1:5" x14ac:dyDescent="0.3">
      <c r="A32" t="s">
        <v>33</v>
      </c>
      <c r="B32" s="4">
        <v>0.39789999999999998</v>
      </c>
      <c r="C32" s="4">
        <f t="shared" si="0"/>
        <v>1.2799999999999978E-2</v>
      </c>
      <c r="D32">
        <v>21</v>
      </c>
      <c r="E32">
        <v>40</v>
      </c>
    </row>
    <row r="33" spans="1:5" x14ac:dyDescent="0.3">
      <c r="A33" t="s">
        <v>34</v>
      </c>
      <c r="B33" s="4">
        <v>0.4108</v>
      </c>
      <c r="C33" s="4">
        <f t="shared" si="0"/>
        <v>1.2900000000000023E-2</v>
      </c>
      <c r="D33">
        <v>21</v>
      </c>
      <c r="E33">
        <v>40</v>
      </c>
    </row>
    <row r="34" spans="1:5" x14ac:dyDescent="0.3">
      <c r="A34" t="s">
        <v>35</v>
      </c>
      <c r="B34" s="4">
        <v>0.42359999999999998</v>
      </c>
      <c r="C34" s="4">
        <f t="shared" si="0"/>
        <v>1.2799999999999978E-2</v>
      </c>
      <c r="D34">
        <v>21</v>
      </c>
      <c r="E34">
        <v>40</v>
      </c>
    </row>
    <row r="35" spans="1:5" x14ac:dyDescent="0.3">
      <c r="A35" t="s">
        <v>36</v>
      </c>
      <c r="B35" s="4">
        <v>0.43640000000000001</v>
      </c>
      <c r="C35" s="4">
        <f t="shared" si="0"/>
        <v>1.2800000000000034E-2</v>
      </c>
      <c r="D35">
        <v>21</v>
      </c>
      <c r="E35">
        <v>40</v>
      </c>
    </row>
    <row r="36" spans="1:5" x14ac:dyDescent="0.3">
      <c r="A36" t="s">
        <v>37</v>
      </c>
      <c r="B36" s="4">
        <v>0.44929999999999998</v>
      </c>
      <c r="C36" s="4">
        <f t="shared" si="0"/>
        <v>1.2899999999999967E-2</v>
      </c>
      <c r="D36">
        <v>21</v>
      </c>
      <c r="E36">
        <v>40</v>
      </c>
    </row>
    <row r="37" spans="1:5" x14ac:dyDescent="0.3">
      <c r="A37" t="s">
        <v>38</v>
      </c>
      <c r="B37" s="4">
        <v>0.46210000000000001</v>
      </c>
      <c r="C37" s="4">
        <f t="shared" si="0"/>
        <v>1.2800000000000034E-2</v>
      </c>
      <c r="D37">
        <v>24</v>
      </c>
      <c r="E37">
        <v>45</v>
      </c>
    </row>
    <row r="38" spans="1:5" x14ac:dyDescent="0.3">
      <c r="A38" t="s">
        <v>39</v>
      </c>
      <c r="B38" s="4">
        <v>0.47499999999999998</v>
      </c>
      <c r="C38" s="4">
        <f t="shared" si="0"/>
        <v>1.2899999999999967E-2</v>
      </c>
      <c r="D38">
        <v>24</v>
      </c>
      <c r="E38">
        <v>45</v>
      </c>
    </row>
    <row r="39" spans="1:5" x14ac:dyDescent="0.3">
      <c r="A39" t="s">
        <v>40</v>
      </c>
      <c r="B39" s="4">
        <v>0.48780000000000001</v>
      </c>
      <c r="C39" s="4">
        <f t="shared" si="0"/>
        <v>1.2800000000000034E-2</v>
      </c>
      <c r="D39">
        <v>24</v>
      </c>
      <c r="E39">
        <v>45</v>
      </c>
    </row>
    <row r="40" spans="1:5" x14ac:dyDescent="0.3">
      <c r="A40" t="s">
        <v>41</v>
      </c>
      <c r="B40" s="4">
        <v>0.50060000000000004</v>
      </c>
      <c r="C40" s="4">
        <f t="shared" si="0"/>
        <v>1.2800000000000034E-2</v>
      </c>
      <c r="D40">
        <v>24</v>
      </c>
      <c r="E40">
        <v>45</v>
      </c>
    </row>
    <row r="41" spans="1:5" x14ac:dyDescent="0.3">
      <c r="A41" t="s">
        <v>42</v>
      </c>
      <c r="B41" s="4">
        <v>0.51349999999999996</v>
      </c>
      <c r="C41" s="4">
        <f t="shared" si="0"/>
        <v>1.2899999999999912E-2</v>
      </c>
      <c r="D41">
        <v>24</v>
      </c>
      <c r="E41">
        <v>45</v>
      </c>
    </row>
    <row r="42" spans="1:5" x14ac:dyDescent="0.3">
      <c r="A42" t="s">
        <v>43</v>
      </c>
      <c r="B42" s="4">
        <v>0.52629999999999999</v>
      </c>
      <c r="C42" s="4">
        <f t="shared" si="0"/>
        <v>1.2800000000000034E-2</v>
      </c>
      <c r="D42">
        <v>27</v>
      </c>
      <c r="E42">
        <v>50</v>
      </c>
    </row>
    <row r="43" spans="1:5" x14ac:dyDescent="0.3">
      <c r="A43" t="s">
        <v>44</v>
      </c>
      <c r="B43" s="4">
        <v>0.53910000000000002</v>
      </c>
      <c r="C43" s="4">
        <f t="shared" si="0"/>
        <v>1.2800000000000034E-2</v>
      </c>
      <c r="D43">
        <v>27</v>
      </c>
      <c r="E43">
        <v>50</v>
      </c>
    </row>
    <row r="44" spans="1:5" x14ac:dyDescent="0.3">
      <c r="A44" t="s">
        <v>45</v>
      </c>
      <c r="B44" s="4">
        <v>0.55200000000000005</v>
      </c>
      <c r="C44" s="4">
        <f t="shared" si="0"/>
        <v>1.2900000000000023E-2</v>
      </c>
      <c r="D44">
        <v>27</v>
      </c>
      <c r="E44">
        <v>50</v>
      </c>
    </row>
    <row r="45" spans="1:5" x14ac:dyDescent="0.3">
      <c r="A45" t="s">
        <v>46</v>
      </c>
      <c r="B45" s="4">
        <v>0.56479999999999997</v>
      </c>
      <c r="C45" s="4">
        <f t="shared" si="0"/>
        <v>1.2799999999999923E-2</v>
      </c>
      <c r="D45">
        <v>27</v>
      </c>
      <c r="E45">
        <v>50</v>
      </c>
    </row>
    <row r="46" spans="1:5" x14ac:dyDescent="0.3">
      <c r="A46" t="s">
        <v>47</v>
      </c>
      <c r="B46" s="4">
        <v>0.5776</v>
      </c>
      <c r="C46" s="4">
        <f t="shared" si="0"/>
        <v>1.2800000000000034E-2</v>
      </c>
      <c r="D46">
        <v>27</v>
      </c>
      <c r="E46">
        <v>50</v>
      </c>
    </row>
    <row r="47" spans="1:5" x14ac:dyDescent="0.3">
      <c r="A47" t="s">
        <v>48</v>
      </c>
      <c r="B47" s="4">
        <v>0.59050000000000002</v>
      </c>
      <c r="C47" s="4">
        <f t="shared" si="0"/>
        <v>1.2900000000000023E-2</v>
      </c>
      <c r="D47">
        <v>30</v>
      </c>
      <c r="E47">
        <v>55</v>
      </c>
    </row>
    <row r="48" spans="1:5" x14ac:dyDescent="0.3">
      <c r="A48" t="s">
        <v>49</v>
      </c>
      <c r="B48" s="4">
        <v>0.60329999999999995</v>
      </c>
      <c r="C48" s="4">
        <f t="shared" si="0"/>
        <v>1.2799999999999923E-2</v>
      </c>
      <c r="D48">
        <v>30</v>
      </c>
      <c r="E48">
        <v>55</v>
      </c>
    </row>
    <row r="49" spans="1:5" x14ac:dyDescent="0.3">
      <c r="A49" t="s">
        <v>50</v>
      </c>
      <c r="B49" s="4">
        <v>0.61619999999999997</v>
      </c>
      <c r="C49" s="4">
        <f t="shared" si="0"/>
        <v>1.2900000000000023E-2</v>
      </c>
      <c r="D49">
        <v>30</v>
      </c>
      <c r="E49">
        <v>55</v>
      </c>
    </row>
    <row r="50" spans="1:5" x14ac:dyDescent="0.3">
      <c r="A50" t="s">
        <v>51</v>
      </c>
      <c r="B50" s="4">
        <v>0.629</v>
      </c>
      <c r="C50" s="4">
        <f t="shared" si="0"/>
        <v>1.2800000000000034E-2</v>
      </c>
      <c r="D50">
        <v>30</v>
      </c>
      <c r="E50">
        <v>55</v>
      </c>
    </row>
    <row r="51" spans="1:5" x14ac:dyDescent="0.3">
      <c r="A51" t="s">
        <v>52</v>
      </c>
      <c r="B51" s="4">
        <v>0.64180000000000004</v>
      </c>
      <c r="C51" s="4">
        <f t="shared" si="0"/>
        <v>1.2800000000000034E-2</v>
      </c>
      <c r="D51">
        <v>30</v>
      </c>
      <c r="E51">
        <v>55</v>
      </c>
    </row>
    <row r="52" spans="1:5" x14ac:dyDescent="0.3">
      <c r="A52" t="s">
        <v>53</v>
      </c>
      <c r="B52" s="4">
        <v>0.65469999999999995</v>
      </c>
      <c r="C52" s="4">
        <f t="shared" si="0"/>
        <v>1.2899999999999912E-2</v>
      </c>
      <c r="D52">
        <v>33</v>
      </c>
      <c r="E52">
        <v>60</v>
      </c>
    </row>
  </sheetData>
  <pageMargins left="0.75" right="0.75" top="1" bottom="1" header="0.5" footer="0.5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12B6-BAE5-4B79-A5D9-507901C17BB5}">
  <dimension ref="A1:X52"/>
  <sheetViews>
    <sheetView workbookViewId="0">
      <selection activeCell="C3" sqref="C3"/>
    </sheetView>
  </sheetViews>
  <sheetFormatPr defaultRowHeight="14.4" x14ac:dyDescent="0.3"/>
  <cols>
    <col min="1" max="1" width="20" customWidth="1"/>
    <col min="2" max="3" width="19" customWidth="1"/>
    <col min="4" max="4" width="13.77734375" customWidth="1"/>
    <col min="5" max="5" width="12" customWidth="1"/>
    <col min="6" max="6" width="20.77734375" customWidth="1"/>
    <col min="7" max="8" width="17.6640625" customWidth="1"/>
    <col min="9" max="9" width="25" customWidth="1"/>
    <col min="10" max="10" width="23.77734375" customWidth="1"/>
    <col min="11" max="11" width="17.6640625" customWidth="1"/>
    <col min="14" max="14" width="30.21875" customWidth="1"/>
    <col min="15" max="15" width="24.77734375" customWidth="1"/>
    <col min="23" max="24" width="17.77734375" customWidth="1"/>
  </cols>
  <sheetData>
    <row r="1" spans="1:24" x14ac:dyDescent="0.3">
      <c r="A1" s="1" t="s">
        <v>0</v>
      </c>
      <c r="B1" s="3" t="s">
        <v>1</v>
      </c>
      <c r="C1" s="3" t="s">
        <v>65</v>
      </c>
      <c r="D1" s="3" t="s">
        <v>56</v>
      </c>
      <c r="E1" s="3" t="s">
        <v>55</v>
      </c>
      <c r="F1" s="3" t="s">
        <v>54</v>
      </c>
      <c r="G1" s="2" t="s">
        <v>57</v>
      </c>
      <c r="H1" s="2" t="s">
        <v>64</v>
      </c>
      <c r="I1" s="2" t="s">
        <v>62</v>
      </c>
      <c r="J1" s="2" t="s">
        <v>63</v>
      </c>
      <c r="K1" s="2"/>
      <c r="L1" s="3" t="s">
        <v>58</v>
      </c>
      <c r="M1" s="3" t="s">
        <v>59</v>
      </c>
      <c r="N1" s="3"/>
      <c r="O1" s="3"/>
      <c r="W1" t="s">
        <v>60</v>
      </c>
      <c r="X1" t="s">
        <v>61</v>
      </c>
    </row>
    <row r="2" spans="1:24" x14ac:dyDescent="0.3">
      <c r="A2" t="s">
        <v>2</v>
      </c>
      <c r="B2" s="4">
        <v>1.54E-2</v>
      </c>
      <c r="C2" s="4">
        <f>B2</f>
        <v>1.54E-2</v>
      </c>
      <c r="D2" t="s">
        <v>3</v>
      </c>
      <c r="E2" t="s">
        <v>3</v>
      </c>
      <c r="F2" s="4">
        <f ca="1">SUM(INDIRECT("C" &amp; L2 &amp; ":C" &amp; M2))</f>
        <v>0.38509999999999994</v>
      </c>
      <c r="G2" s="5">
        <f ca="1">SUM(INDIRECT("D" &amp; L2 &amp; ":D" &amp; M2))</f>
        <v>851</v>
      </c>
      <c r="H2" s="5">
        <f ca="1">SUM(INDIRECT("E" &amp; L2 &amp; ":E" &amp; M2))</f>
        <v>1610</v>
      </c>
      <c r="I2" s="5">
        <f ca="1">G2/W2</f>
        <v>85.1</v>
      </c>
      <c r="J2" s="5">
        <f ca="1">H2/X2</f>
        <v>32.200000000000003</v>
      </c>
      <c r="K2" s="5"/>
      <c r="L2">
        <v>28</v>
      </c>
      <c r="M2">
        <v>52</v>
      </c>
      <c r="W2">
        <v>10</v>
      </c>
      <c r="X2">
        <v>50</v>
      </c>
    </row>
    <row r="3" spans="1:24" x14ac:dyDescent="0.3">
      <c r="A3" t="s">
        <v>4</v>
      </c>
      <c r="B3" s="4">
        <v>3.0800000000000001E-2</v>
      </c>
      <c r="C3" s="4">
        <f>B3-B2</f>
        <v>1.54E-2</v>
      </c>
      <c r="D3">
        <v>4</v>
      </c>
      <c r="E3">
        <v>14</v>
      </c>
    </row>
    <row r="4" spans="1:24" x14ac:dyDescent="0.3">
      <c r="A4" t="s">
        <v>5</v>
      </c>
      <c r="B4" s="4">
        <v>4.6199999999999998E-2</v>
      </c>
      <c r="C4" s="4">
        <f t="shared" ref="C4:C52" si="0">B4-B3</f>
        <v>1.5399999999999997E-2</v>
      </c>
      <c r="D4">
        <v>4</v>
      </c>
      <c r="E4">
        <v>14</v>
      </c>
    </row>
    <row r="5" spans="1:24" x14ac:dyDescent="0.3">
      <c r="A5" t="s">
        <v>6</v>
      </c>
      <c r="B5" s="4">
        <v>6.1600000000000002E-2</v>
      </c>
      <c r="C5" s="4">
        <f t="shared" si="0"/>
        <v>1.5400000000000004E-2</v>
      </c>
      <c r="D5">
        <v>4</v>
      </c>
      <c r="E5">
        <v>14</v>
      </c>
    </row>
    <row r="6" spans="1:24" x14ac:dyDescent="0.3">
      <c r="A6" t="s">
        <v>7</v>
      </c>
      <c r="B6" s="4">
        <v>7.6999999999999999E-2</v>
      </c>
      <c r="C6" s="4">
        <f t="shared" si="0"/>
        <v>1.5399999999999997E-2</v>
      </c>
      <c r="D6">
        <v>4</v>
      </c>
      <c r="E6">
        <v>14</v>
      </c>
    </row>
    <row r="7" spans="1:24" x14ac:dyDescent="0.3">
      <c r="A7" t="s">
        <v>8</v>
      </c>
      <c r="B7" s="4">
        <v>9.2399999999999996E-2</v>
      </c>
      <c r="C7" s="4">
        <f t="shared" si="0"/>
        <v>1.5399999999999997E-2</v>
      </c>
      <c r="D7">
        <v>8</v>
      </c>
      <c r="E7">
        <v>21</v>
      </c>
    </row>
    <row r="8" spans="1:24" x14ac:dyDescent="0.3">
      <c r="A8" t="s">
        <v>9</v>
      </c>
      <c r="B8" s="4">
        <v>0.10780000000000001</v>
      </c>
      <c r="C8" s="4">
        <f t="shared" si="0"/>
        <v>1.5400000000000011E-2</v>
      </c>
      <c r="D8">
        <v>8</v>
      </c>
      <c r="E8">
        <v>21</v>
      </c>
    </row>
    <row r="9" spans="1:24" x14ac:dyDescent="0.3">
      <c r="A9" t="s">
        <v>10</v>
      </c>
      <c r="B9" s="4">
        <v>0.1232</v>
      </c>
      <c r="C9" s="4">
        <f t="shared" si="0"/>
        <v>1.5399999999999997E-2</v>
      </c>
      <c r="D9">
        <v>8</v>
      </c>
      <c r="E9">
        <v>21</v>
      </c>
    </row>
    <row r="10" spans="1:24" x14ac:dyDescent="0.3">
      <c r="A10" t="s">
        <v>11</v>
      </c>
      <c r="B10" s="4">
        <v>0.1386</v>
      </c>
      <c r="C10" s="4">
        <f t="shared" si="0"/>
        <v>1.5399999999999997E-2</v>
      </c>
      <c r="D10">
        <v>8</v>
      </c>
      <c r="E10">
        <v>21</v>
      </c>
    </row>
    <row r="11" spans="1:24" x14ac:dyDescent="0.3">
      <c r="A11" t="s">
        <v>12</v>
      </c>
      <c r="B11" s="4">
        <v>0.154</v>
      </c>
      <c r="C11" s="4">
        <f t="shared" si="0"/>
        <v>1.5399999999999997E-2</v>
      </c>
      <c r="D11">
        <v>8</v>
      </c>
      <c r="E11">
        <v>21</v>
      </c>
    </row>
    <row r="12" spans="1:24" x14ac:dyDescent="0.3">
      <c r="A12" t="s">
        <v>13</v>
      </c>
      <c r="B12" s="4">
        <v>0.1694</v>
      </c>
      <c r="C12" s="4">
        <f t="shared" si="0"/>
        <v>1.5399999999999997E-2</v>
      </c>
      <c r="D12">
        <v>12</v>
      </c>
      <c r="E12">
        <v>28</v>
      </c>
    </row>
    <row r="13" spans="1:24" x14ac:dyDescent="0.3">
      <c r="A13" t="s">
        <v>14</v>
      </c>
      <c r="B13" s="4">
        <v>0.18479999999999999</v>
      </c>
      <c r="C13" s="4">
        <f t="shared" si="0"/>
        <v>1.5399999999999997E-2</v>
      </c>
      <c r="D13">
        <v>12</v>
      </c>
      <c r="E13">
        <v>28</v>
      </c>
    </row>
    <row r="14" spans="1:24" x14ac:dyDescent="0.3">
      <c r="A14" t="s">
        <v>15</v>
      </c>
      <c r="B14" s="4">
        <v>0.20030000000000001</v>
      </c>
      <c r="C14" s="4">
        <f t="shared" si="0"/>
        <v>1.5500000000000014E-2</v>
      </c>
      <c r="D14">
        <v>12</v>
      </c>
      <c r="E14">
        <v>28</v>
      </c>
    </row>
    <row r="15" spans="1:24" x14ac:dyDescent="0.3">
      <c r="A15" t="s">
        <v>16</v>
      </c>
      <c r="B15" s="4">
        <v>0.2157</v>
      </c>
      <c r="C15" s="4">
        <f t="shared" si="0"/>
        <v>1.5399999999999997E-2</v>
      </c>
      <c r="D15">
        <v>12</v>
      </c>
      <c r="E15">
        <v>28</v>
      </c>
    </row>
    <row r="16" spans="1:24" x14ac:dyDescent="0.3">
      <c r="A16" t="s">
        <v>17</v>
      </c>
      <c r="B16" s="4">
        <v>0.2311</v>
      </c>
      <c r="C16" s="4">
        <f t="shared" si="0"/>
        <v>1.5399999999999997E-2</v>
      </c>
      <c r="D16">
        <v>12</v>
      </c>
      <c r="E16">
        <v>28</v>
      </c>
    </row>
    <row r="17" spans="1:5" x14ac:dyDescent="0.3">
      <c r="A17" t="s">
        <v>18</v>
      </c>
      <c r="B17" s="4">
        <v>0.2465</v>
      </c>
      <c r="C17" s="4">
        <f t="shared" si="0"/>
        <v>1.5399999999999997E-2</v>
      </c>
      <c r="D17">
        <v>16</v>
      </c>
      <c r="E17">
        <v>35</v>
      </c>
    </row>
    <row r="18" spans="1:5" x14ac:dyDescent="0.3">
      <c r="A18" t="s">
        <v>19</v>
      </c>
      <c r="B18" s="4">
        <v>0.26190000000000002</v>
      </c>
      <c r="C18" s="4">
        <f t="shared" si="0"/>
        <v>1.5400000000000025E-2</v>
      </c>
      <c r="D18">
        <v>16</v>
      </c>
      <c r="E18">
        <v>35</v>
      </c>
    </row>
    <row r="19" spans="1:5" x14ac:dyDescent="0.3">
      <c r="A19" t="s">
        <v>20</v>
      </c>
      <c r="B19" s="4">
        <v>0.27729999999999999</v>
      </c>
      <c r="C19" s="4">
        <f t="shared" si="0"/>
        <v>1.5399999999999969E-2</v>
      </c>
      <c r="D19">
        <v>16</v>
      </c>
      <c r="E19">
        <v>35</v>
      </c>
    </row>
    <row r="20" spans="1:5" x14ac:dyDescent="0.3">
      <c r="A20" t="s">
        <v>21</v>
      </c>
      <c r="B20" s="4">
        <v>0.29270000000000002</v>
      </c>
      <c r="C20" s="4">
        <f t="shared" si="0"/>
        <v>1.5400000000000025E-2</v>
      </c>
      <c r="D20">
        <v>16</v>
      </c>
      <c r="E20">
        <v>35</v>
      </c>
    </row>
    <row r="21" spans="1:5" x14ac:dyDescent="0.3">
      <c r="A21" t="s">
        <v>22</v>
      </c>
      <c r="B21" s="4">
        <v>0.30809999999999998</v>
      </c>
      <c r="C21" s="4">
        <f t="shared" si="0"/>
        <v>1.5399999999999969E-2</v>
      </c>
      <c r="D21">
        <v>16</v>
      </c>
      <c r="E21">
        <v>35</v>
      </c>
    </row>
    <row r="22" spans="1:5" x14ac:dyDescent="0.3">
      <c r="A22" t="s">
        <v>23</v>
      </c>
      <c r="B22" s="4">
        <v>0.32350000000000001</v>
      </c>
      <c r="C22" s="4">
        <f t="shared" si="0"/>
        <v>1.5400000000000025E-2</v>
      </c>
      <c r="D22">
        <v>21</v>
      </c>
      <c r="E22">
        <v>42</v>
      </c>
    </row>
    <row r="23" spans="1:5" x14ac:dyDescent="0.3">
      <c r="A23" t="s">
        <v>24</v>
      </c>
      <c r="B23" s="4">
        <v>0.33889999999999998</v>
      </c>
      <c r="C23" s="4">
        <f t="shared" si="0"/>
        <v>1.5399999999999969E-2</v>
      </c>
      <c r="D23">
        <v>21</v>
      </c>
      <c r="E23">
        <v>42</v>
      </c>
    </row>
    <row r="24" spans="1:5" x14ac:dyDescent="0.3">
      <c r="A24" t="s">
        <v>25</v>
      </c>
      <c r="B24" s="4">
        <v>0.3543</v>
      </c>
      <c r="C24" s="4">
        <f t="shared" si="0"/>
        <v>1.5400000000000025E-2</v>
      </c>
      <c r="D24">
        <v>21</v>
      </c>
      <c r="E24">
        <v>42</v>
      </c>
    </row>
    <row r="25" spans="1:5" x14ac:dyDescent="0.3">
      <c r="A25" t="s">
        <v>26</v>
      </c>
      <c r="B25" s="4">
        <v>0.36969999999999997</v>
      </c>
      <c r="C25" s="4">
        <f t="shared" si="0"/>
        <v>1.5399999999999969E-2</v>
      </c>
      <c r="D25">
        <v>21</v>
      </c>
      <c r="E25">
        <v>42</v>
      </c>
    </row>
    <row r="26" spans="1:5" x14ac:dyDescent="0.3">
      <c r="A26" t="s">
        <v>27</v>
      </c>
      <c r="B26" s="4">
        <v>0.3851</v>
      </c>
      <c r="C26" s="4">
        <f t="shared" si="0"/>
        <v>1.5400000000000025E-2</v>
      </c>
      <c r="D26">
        <v>21</v>
      </c>
      <c r="E26">
        <v>42</v>
      </c>
    </row>
    <row r="27" spans="1:5" x14ac:dyDescent="0.3">
      <c r="A27" t="s">
        <v>28</v>
      </c>
      <c r="B27" s="4">
        <v>0.40050000000000002</v>
      </c>
      <c r="C27" s="4">
        <f t="shared" si="0"/>
        <v>1.5400000000000025E-2</v>
      </c>
      <c r="D27">
        <v>25</v>
      </c>
      <c r="E27">
        <v>49</v>
      </c>
    </row>
    <row r="28" spans="1:5" x14ac:dyDescent="0.3">
      <c r="A28" t="s">
        <v>29</v>
      </c>
      <c r="B28" s="4">
        <v>0.41589999999999999</v>
      </c>
      <c r="C28" s="4">
        <f t="shared" si="0"/>
        <v>1.5399999999999969E-2</v>
      </c>
      <c r="D28">
        <v>25</v>
      </c>
      <c r="E28">
        <v>49</v>
      </c>
    </row>
    <row r="29" spans="1:5" x14ac:dyDescent="0.3">
      <c r="A29" t="s">
        <v>30</v>
      </c>
      <c r="B29" s="4">
        <v>0.43130000000000002</v>
      </c>
      <c r="C29" s="4">
        <f t="shared" si="0"/>
        <v>1.5400000000000025E-2</v>
      </c>
      <c r="D29">
        <v>25</v>
      </c>
      <c r="E29">
        <v>49</v>
      </c>
    </row>
    <row r="30" spans="1:5" x14ac:dyDescent="0.3">
      <c r="A30" t="s">
        <v>31</v>
      </c>
      <c r="B30" s="4">
        <v>0.44669999999999999</v>
      </c>
      <c r="C30" s="4">
        <f t="shared" si="0"/>
        <v>1.5399999999999969E-2</v>
      </c>
      <c r="D30">
        <v>25</v>
      </c>
      <c r="E30">
        <v>49</v>
      </c>
    </row>
    <row r="31" spans="1:5" x14ac:dyDescent="0.3">
      <c r="A31" t="s">
        <v>32</v>
      </c>
      <c r="B31" s="4">
        <v>0.46210000000000001</v>
      </c>
      <c r="C31" s="4">
        <f t="shared" si="0"/>
        <v>1.5400000000000025E-2</v>
      </c>
      <c r="D31">
        <v>25</v>
      </c>
      <c r="E31">
        <v>49</v>
      </c>
    </row>
    <row r="32" spans="1:5" x14ac:dyDescent="0.3">
      <c r="A32" t="s">
        <v>33</v>
      </c>
      <c r="B32" s="4">
        <v>0.47749999999999998</v>
      </c>
      <c r="C32" s="4">
        <f t="shared" si="0"/>
        <v>1.5399999999999969E-2</v>
      </c>
      <c r="D32">
        <v>29</v>
      </c>
      <c r="E32">
        <v>56</v>
      </c>
    </row>
    <row r="33" spans="1:5" x14ac:dyDescent="0.3">
      <c r="A33" t="s">
        <v>34</v>
      </c>
      <c r="B33" s="4">
        <v>0.4929</v>
      </c>
      <c r="C33" s="4">
        <f t="shared" si="0"/>
        <v>1.5400000000000025E-2</v>
      </c>
      <c r="D33">
        <v>29</v>
      </c>
      <c r="E33">
        <v>56</v>
      </c>
    </row>
    <row r="34" spans="1:5" x14ac:dyDescent="0.3">
      <c r="A34" t="s">
        <v>35</v>
      </c>
      <c r="B34" s="4">
        <v>0.50829999999999997</v>
      </c>
      <c r="C34" s="4">
        <f t="shared" si="0"/>
        <v>1.5399999999999969E-2</v>
      </c>
      <c r="D34">
        <v>29</v>
      </c>
      <c r="E34">
        <v>56</v>
      </c>
    </row>
    <row r="35" spans="1:5" x14ac:dyDescent="0.3">
      <c r="A35" t="s">
        <v>36</v>
      </c>
      <c r="B35" s="4">
        <v>0.52370000000000005</v>
      </c>
      <c r="C35" s="4">
        <f t="shared" si="0"/>
        <v>1.540000000000008E-2</v>
      </c>
      <c r="D35">
        <v>29</v>
      </c>
      <c r="E35">
        <v>56</v>
      </c>
    </row>
    <row r="36" spans="1:5" x14ac:dyDescent="0.3">
      <c r="A36" t="s">
        <v>37</v>
      </c>
      <c r="B36" s="4">
        <v>0.53910000000000002</v>
      </c>
      <c r="C36" s="4">
        <f t="shared" si="0"/>
        <v>1.5399999999999969E-2</v>
      </c>
      <c r="D36">
        <v>29</v>
      </c>
      <c r="E36">
        <v>56</v>
      </c>
    </row>
    <row r="37" spans="1:5" x14ac:dyDescent="0.3">
      <c r="A37" t="s">
        <v>38</v>
      </c>
      <c r="B37" s="4">
        <v>0.55449999999999999</v>
      </c>
      <c r="C37" s="4">
        <f t="shared" si="0"/>
        <v>1.5399999999999969E-2</v>
      </c>
      <c r="D37">
        <v>33</v>
      </c>
      <c r="E37">
        <v>63</v>
      </c>
    </row>
    <row r="38" spans="1:5" x14ac:dyDescent="0.3">
      <c r="A38" t="s">
        <v>39</v>
      </c>
      <c r="B38" s="4">
        <v>0.56989999999999996</v>
      </c>
      <c r="C38" s="4">
        <f t="shared" si="0"/>
        <v>1.5399999999999969E-2</v>
      </c>
      <c r="D38">
        <v>33</v>
      </c>
      <c r="E38">
        <v>63</v>
      </c>
    </row>
    <row r="39" spans="1:5" x14ac:dyDescent="0.3">
      <c r="A39" t="s">
        <v>40</v>
      </c>
      <c r="B39" s="4">
        <v>0.58530000000000004</v>
      </c>
      <c r="C39" s="4">
        <f t="shared" si="0"/>
        <v>1.540000000000008E-2</v>
      </c>
      <c r="D39">
        <v>33</v>
      </c>
      <c r="E39">
        <v>63</v>
      </c>
    </row>
    <row r="40" spans="1:5" x14ac:dyDescent="0.3">
      <c r="A40" t="s">
        <v>41</v>
      </c>
      <c r="B40" s="4">
        <v>0.6008</v>
      </c>
      <c r="C40" s="4">
        <f t="shared" si="0"/>
        <v>1.5499999999999958E-2</v>
      </c>
      <c r="D40">
        <v>33</v>
      </c>
      <c r="E40">
        <v>63</v>
      </c>
    </row>
    <row r="41" spans="1:5" x14ac:dyDescent="0.3">
      <c r="A41" t="s">
        <v>42</v>
      </c>
      <c r="B41" s="4">
        <v>0.61619999999999997</v>
      </c>
      <c r="C41" s="4">
        <f t="shared" si="0"/>
        <v>1.5399999999999969E-2</v>
      </c>
      <c r="D41">
        <v>33</v>
      </c>
      <c r="E41">
        <v>63</v>
      </c>
    </row>
    <row r="42" spans="1:5" x14ac:dyDescent="0.3">
      <c r="A42" t="s">
        <v>43</v>
      </c>
      <c r="B42" s="4">
        <v>0.63160000000000005</v>
      </c>
      <c r="C42" s="4">
        <f t="shared" si="0"/>
        <v>1.540000000000008E-2</v>
      </c>
      <c r="D42">
        <v>37</v>
      </c>
      <c r="E42">
        <v>70</v>
      </c>
    </row>
    <row r="43" spans="1:5" x14ac:dyDescent="0.3">
      <c r="A43" t="s">
        <v>44</v>
      </c>
      <c r="B43" s="4">
        <v>0.64700000000000002</v>
      </c>
      <c r="C43" s="4">
        <f t="shared" si="0"/>
        <v>1.5399999999999969E-2</v>
      </c>
      <c r="D43">
        <v>37</v>
      </c>
      <c r="E43">
        <v>70</v>
      </c>
    </row>
    <row r="44" spans="1:5" x14ac:dyDescent="0.3">
      <c r="A44" t="s">
        <v>45</v>
      </c>
      <c r="B44" s="4">
        <v>0.66239999999999999</v>
      </c>
      <c r="C44" s="4">
        <f t="shared" si="0"/>
        <v>1.5399999999999969E-2</v>
      </c>
      <c r="D44">
        <v>37</v>
      </c>
      <c r="E44">
        <v>70</v>
      </c>
    </row>
    <row r="45" spans="1:5" x14ac:dyDescent="0.3">
      <c r="A45" t="s">
        <v>46</v>
      </c>
      <c r="B45" s="4">
        <v>0.67779999999999996</v>
      </c>
      <c r="C45" s="4">
        <f t="shared" si="0"/>
        <v>1.5399999999999969E-2</v>
      </c>
      <c r="D45">
        <v>37</v>
      </c>
      <c r="E45">
        <v>70</v>
      </c>
    </row>
    <row r="46" spans="1:5" x14ac:dyDescent="0.3">
      <c r="A46" t="s">
        <v>47</v>
      </c>
      <c r="B46" s="4">
        <v>0.69320000000000004</v>
      </c>
      <c r="C46" s="4">
        <f t="shared" si="0"/>
        <v>1.540000000000008E-2</v>
      </c>
      <c r="D46">
        <v>37</v>
      </c>
      <c r="E46">
        <v>70</v>
      </c>
    </row>
    <row r="47" spans="1:5" x14ac:dyDescent="0.3">
      <c r="A47" t="s">
        <v>48</v>
      </c>
      <c r="B47" s="4">
        <v>0.70860000000000001</v>
      </c>
      <c r="C47" s="4">
        <f t="shared" si="0"/>
        <v>1.5399999999999969E-2</v>
      </c>
      <c r="D47">
        <v>42</v>
      </c>
      <c r="E47">
        <v>77</v>
      </c>
    </row>
    <row r="48" spans="1:5" x14ac:dyDescent="0.3">
      <c r="A48" t="s">
        <v>49</v>
      </c>
      <c r="B48" s="4">
        <v>0.72399999999999998</v>
      </c>
      <c r="C48" s="4">
        <f t="shared" si="0"/>
        <v>1.5399999999999969E-2</v>
      </c>
      <c r="D48">
        <v>42</v>
      </c>
      <c r="E48">
        <v>77</v>
      </c>
    </row>
    <row r="49" spans="1:5" x14ac:dyDescent="0.3">
      <c r="A49" t="s">
        <v>50</v>
      </c>
      <c r="B49" s="4">
        <v>0.73939999999999995</v>
      </c>
      <c r="C49" s="4">
        <f t="shared" si="0"/>
        <v>1.5399999999999969E-2</v>
      </c>
      <c r="D49">
        <v>42</v>
      </c>
      <c r="E49">
        <v>77</v>
      </c>
    </row>
    <row r="50" spans="1:5" x14ac:dyDescent="0.3">
      <c r="A50" t="s">
        <v>51</v>
      </c>
      <c r="B50" s="4">
        <v>0.75480000000000003</v>
      </c>
      <c r="C50" s="4">
        <f t="shared" si="0"/>
        <v>1.540000000000008E-2</v>
      </c>
      <c r="D50">
        <v>42</v>
      </c>
      <c r="E50">
        <v>77</v>
      </c>
    </row>
    <row r="51" spans="1:5" x14ac:dyDescent="0.3">
      <c r="A51" t="s">
        <v>52</v>
      </c>
      <c r="B51" s="4">
        <v>0.7702</v>
      </c>
      <c r="C51" s="4">
        <f t="shared" si="0"/>
        <v>1.5399999999999969E-2</v>
      </c>
      <c r="D51">
        <v>42</v>
      </c>
      <c r="E51">
        <v>77</v>
      </c>
    </row>
    <row r="52" spans="1:5" x14ac:dyDescent="0.3">
      <c r="A52" t="s">
        <v>53</v>
      </c>
      <c r="B52" s="4">
        <v>0.78559999999999997</v>
      </c>
      <c r="C52" s="4">
        <f t="shared" si="0"/>
        <v>1.5399999999999969E-2</v>
      </c>
      <c r="D52">
        <v>46</v>
      </c>
      <c r="E52">
        <v>84</v>
      </c>
    </row>
  </sheetData>
  <pageMargins left="0.75" right="0.75" top="1" bottom="1" header="0.5" footer="0.5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E973-916C-4900-956E-0B28CF741D7A}">
  <dimension ref="A1:X52"/>
  <sheetViews>
    <sheetView workbookViewId="0">
      <selection activeCell="C3" sqref="C3"/>
    </sheetView>
  </sheetViews>
  <sheetFormatPr defaultRowHeight="14.4" x14ac:dyDescent="0.3"/>
  <cols>
    <col min="1" max="1" width="20" customWidth="1"/>
    <col min="2" max="3" width="19" customWidth="1"/>
    <col min="4" max="4" width="13.77734375" customWidth="1"/>
    <col min="5" max="5" width="12" customWidth="1"/>
    <col min="6" max="6" width="20.77734375" customWidth="1"/>
    <col min="7" max="8" width="17.6640625" customWidth="1"/>
    <col min="9" max="9" width="25" customWidth="1"/>
    <col min="10" max="10" width="23.77734375" customWidth="1"/>
    <col min="11" max="11" width="17.6640625" customWidth="1"/>
    <col min="14" max="14" width="30.21875" customWidth="1"/>
    <col min="15" max="15" width="24.77734375" customWidth="1"/>
    <col min="23" max="24" width="17.77734375" customWidth="1"/>
  </cols>
  <sheetData>
    <row r="1" spans="1:24" x14ac:dyDescent="0.3">
      <c r="A1" s="1" t="s">
        <v>0</v>
      </c>
      <c r="B1" s="3" t="s">
        <v>1</v>
      </c>
      <c r="C1" s="3" t="s">
        <v>65</v>
      </c>
      <c r="D1" s="3" t="s">
        <v>56</v>
      </c>
      <c r="E1" s="3" t="s">
        <v>55</v>
      </c>
      <c r="F1" s="3" t="s">
        <v>54</v>
      </c>
      <c r="G1" s="2" t="s">
        <v>57</v>
      </c>
      <c r="H1" s="2" t="s">
        <v>64</v>
      </c>
      <c r="I1" s="2" t="s">
        <v>62</v>
      </c>
      <c r="J1" s="2" t="s">
        <v>63</v>
      </c>
      <c r="K1" s="2"/>
      <c r="L1" s="3" t="s">
        <v>58</v>
      </c>
      <c r="M1" s="3" t="s">
        <v>59</v>
      </c>
      <c r="N1" s="3"/>
      <c r="O1" s="3"/>
      <c r="W1" t="s">
        <v>60</v>
      </c>
      <c r="X1" t="s">
        <v>61</v>
      </c>
    </row>
    <row r="2" spans="1:24" x14ac:dyDescent="0.3">
      <c r="A2" t="s">
        <v>2</v>
      </c>
      <c r="B2" s="4">
        <v>1.8499999999999999E-2</v>
      </c>
      <c r="C2" s="4">
        <f>B2</f>
        <v>1.8499999999999999E-2</v>
      </c>
      <c r="D2" t="s">
        <v>3</v>
      </c>
      <c r="E2" t="s">
        <v>3</v>
      </c>
      <c r="F2" s="4">
        <f ca="1">SUM(INDIRECT("C" &amp; L2 &amp; ":C" &amp; M2))</f>
        <v>0.46209999999999996</v>
      </c>
      <c r="G2" s="5">
        <f ca="1">SUM(INDIRECT("D" &amp; L2 &amp; ":D" &amp; M2))</f>
        <v>1205</v>
      </c>
      <c r="H2" s="5">
        <f ca="1">SUM(INDIRECT("E" &amp; L2 &amp; ":E" &amp; M2))</f>
        <v>2254</v>
      </c>
      <c r="I2" s="5">
        <f ca="1">G2/W2</f>
        <v>120.5</v>
      </c>
      <c r="J2" s="5">
        <f ca="1">H2/X2</f>
        <v>45.08</v>
      </c>
      <c r="K2" s="5"/>
      <c r="L2">
        <v>28</v>
      </c>
      <c r="M2">
        <v>52</v>
      </c>
      <c r="W2">
        <v>10</v>
      </c>
      <c r="X2">
        <v>50</v>
      </c>
    </row>
    <row r="3" spans="1:24" x14ac:dyDescent="0.3">
      <c r="A3" t="s">
        <v>4</v>
      </c>
      <c r="B3" s="4">
        <v>3.6999999999999998E-2</v>
      </c>
      <c r="C3" s="4">
        <f>B3-B2</f>
        <v>1.8499999999999999E-2</v>
      </c>
      <c r="D3">
        <v>6</v>
      </c>
      <c r="E3">
        <v>20</v>
      </c>
    </row>
    <row r="4" spans="1:24" x14ac:dyDescent="0.3">
      <c r="A4" t="s">
        <v>5</v>
      </c>
      <c r="B4" s="4">
        <v>5.5500000000000001E-2</v>
      </c>
      <c r="C4" s="4">
        <f t="shared" ref="C4:C52" si="0">B4-B3</f>
        <v>1.8500000000000003E-2</v>
      </c>
      <c r="D4">
        <v>6</v>
      </c>
      <c r="E4">
        <v>20</v>
      </c>
    </row>
    <row r="5" spans="1:24" x14ac:dyDescent="0.3">
      <c r="A5" t="s">
        <v>6</v>
      </c>
      <c r="B5" s="4">
        <v>7.3899999999999993E-2</v>
      </c>
      <c r="C5" s="4">
        <f t="shared" si="0"/>
        <v>1.8399999999999993E-2</v>
      </c>
      <c r="D5">
        <v>6</v>
      </c>
      <c r="E5">
        <v>20</v>
      </c>
    </row>
    <row r="6" spans="1:24" x14ac:dyDescent="0.3">
      <c r="A6" t="s">
        <v>7</v>
      </c>
      <c r="B6" s="4">
        <v>9.2399999999999996E-2</v>
      </c>
      <c r="C6" s="4">
        <f t="shared" si="0"/>
        <v>1.8500000000000003E-2</v>
      </c>
      <c r="D6">
        <v>6</v>
      </c>
      <c r="E6">
        <v>20</v>
      </c>
    </row>
    <row r="7" spans="1:24" x14ac:dyDescent="0.3">
      <c r="A7" t="s">
        <v>8</v>
      </c>
      <c r="B7" s="4">
        <v>0.1109</v>
      </c>
      <c r="C7" s="4">
        <f t="shared" si="0"/>
        <v>1.8500000000000003E-2</v>
      </c>
      <c r="D7">
        <v>12</v>
      </c>
      <c r="E7">
        <v>29</v>
      </c>
    </row>
    <row r="8" spans="1:24" x14ac:dyDescent="0.3">
      <c r="A8" t="s">
        <v>9</v>
      </c>
      <c r="B8" s="4">
        <v>0.12939999999999999</v>
      </c>
      <c r="C8" s="4">
        <f t="shared" si="0"/>
        <v>1.8499999999999989E-2</v>
      </c>
      <c r="D8">
        <v>12</v>
      </c>
      <c r="E8">
        <v>29</v>
      </c>
    </row>
    <row r="9" spans="1:24" x14ac:dyDescent="0.3">
      <c r="A9" t="s">
        <v>10</v>
      </c>
      <c r="B9" s="4">
        <v>0.1479</v>
      </c>
      <c r="C9" s="4">
        <f t="shared" si="0"/>
        <v>1.8500000000000016E-2</v>
      </c>
      <c r="D9">
        <v>12</v>
      </c>
      <c r="E9">
        <v>29</v>
      </c>
    </row>
    <row r="10" spans="1:24" x14ac:dyDescent="0.3">
      <c r="A10" t="s">
        <v>11</v>
      </c>
      <c r="B10" s="4">
        <v>0.16639999999999999</v>
      </c>
      <c r="C10" s="4">
        <f t="shared" si="0"/>
        <v>1.8499999999999989E-2</v>
      </c>
      <c r="D10">
        <v>12</v>
      </c>
      <c r="E10">
        <v>29</v>
      </c>
    </row>
    <row r="11" spans="1:24" x14ac:dyDescent="0.3">
      <c r="A11" t="s">
        <v>12</v>
      </c>
      <c r="B11" s="4">
        <v>0.18479999999999999</v>
      </c>
      <c r="C11" s="4">
        <f t="shared" si="0"/>
        <v>1.84E-2</v>
      </c>
      <c r="D11">
        <v>12</v>
      </c>
      <c r="E11">
        <v>29</v>
      </c>
    </row>
    <row r="12" spans="1:24" x14ac:dyDescent="0.3">
      <c r="A12" t="s">
        <v>13</v>
      </c>
      <c r="B12" s="4">
        <v>0.20330000000000001</v>
      </c>
      <c r="C12" s="4">
        <f t="shared" si="0"/>
        <v>1.8500000000000016E-2</v>
      </c>
      <c r="D12">
        <v>18</v>
      </c>
      <c r="E12">
        <v>39</v>
      </c>
    </row>
    <row r="13" spans="1:24" x14ac:dyDescent="0.3">
      <c r="A13" t="s">
        <v>14</v>
      </c>
      <c r="B13" s="4">
        <v>0.2218</v>
      </c>
      <c r="C13" s="4">
        <f t="shared" si="0"/>
        <v>1.8499999999999989E-2</v>
      </c>
      <c r="D13">
        <v>18</v>
      </c>
      <c r="E13">
        <v>39</v>
      </c>
    </row>
    <row r="14" spans="1:24" x14ac:dyDescent="0.3">
      <c r="A14" t="s">
        <v>15</v>
      </c>
      <c r="B14" s="4">
        <v>0.24030000000000001</v>
      </c>
      <c r="C14" s="4">
        <f t="shared" si="0"/>
        <v>1.8500000000000016E-2</v>
      </c>
      <c r="D14">
        <v>18</v>
      </c>
      <c r="E14">
        <v>39</v>
      </c>
    </row>
    <row r="15" spans="1:24" x14ac:dyDescent="0.3">
      <c r="A15" t="s">
        <v>16</v>
      </c>
      <c r="B15" s="4">
        <v>0.25879999999999997</v>
      </c>
      <c r="C15" s="4">
        <f t="shared" si="0"/>
        <v>1.8499999999999961E-2</v>
      </c>
      <c r="D15">
        <v>18</v>
      </c>
      <c r="E15">
        <v>39</v>
      </c>
    </row>
    <row r="16" spans="1:24" x14ac:dyDescent="0.3">
      <c r="A16" t="s">
        <v>17</v>
      </c>
      <c r="B16" s="4">
        <v>0.27729999999999999</v>
      </c>
      <c r="C16" s="4">
        <f t="shared" si="0"/>
        <v>1.8500000000000016E-2</v>
      </c>
      <c r="D16">
        <v>18</v>
      </c>
      <c r="E16">
        <v>39</v>
      </c>
    </row>
    <row r="17" spans="1:5" x14ac:dyDescent="0.3">
      <c r="A17" t="s">
        <v>18</v>
      </c>
      <c r="B17" s="4">
        <v>0.29580000000000001</v>
      </c>
      <c r="C17" s="4">
        <f t="shared" si="0"/>
        <v>1.8500000000000016E-2</v>
      </c>
      <c r="D17">
        <v>24</v>
      </c>
      <c r="E17">
        <v>49</v>
      </c>
    </row>
    <row r="18" spans="1:5" x14ac:dyDescent="0.3">
      <c r="A18" t="s">
        <v>19</v>
      </c>
      <c r="B18" s="4">
        <v>0.31419999999999998</v>
      </c>
      <c r="C18" s="4">
        <f t="shared" si="0"/>
        <v>1.8399999999999972E-2</v>
      </c>
      <c r="D18">
        <v>24</v>
      </c>
      <c r="E18">
        <v>49</v>
      </c>
    </row>
    <row r="19" spans="1:5" x14ac:dyDescent="0.3">
      <c r="A19" t="s">
        <v>20</v>
      </c>
      <c r="B19" s="4">
        <v>0.3327</v>
      </c>
      <c r="C19" s="4">
        <f t="shared" si="0"/>
        <v>1.8500000000000016E-2</v>
      </c>
      <c r="D19">
        <v>24</v>
      </c>
      <c r="E19">
        <v>49</v>
      </c>
    </row>
    <row r="20" spans="1:5" x14ac:dyDescent="0.3">
      <c r="A20" t="s">
        <v>21</v>
      </c>
      <c r="B20" s="4">
        <v>0.35120000000000001</v>
      </c>
      <c r="C20" s="4">
        <f t="shared" si="0"/>
        <v>1.8500000000000016E-2</v>
      </c>
      <c r="D20">
        <v>24</v>
      </c>
      <c r="E20">
        <v>49</v>
      </c>
    </row>
    <row r="21" spans="1:5" x14ac:dyDescent="0.3">
      <c r="A21" t="s">
        <v>22</v>
      </c>
      <c r="B21" s="4">
        <v>0.36969999999999997</v>
      </c>
      <c r="C21" s="4">
        <f t="shared" si="0"/>
        <v>1.8499999999999961E-2</v>
      </c>
      <c r="D21">
        <v>24</v>
      </c>
      <c r="E21">
        <v>49</v>
      </c>
    </row>
    <row r="22" spans="1:5" x14ac:dyDescent="0.3">
      <c r="A22" t="s">
        <v>23</v>
      </c>
      <c r="B22" s="4">
        <v>0.38819999999999999</v>
      </c>
      <c r="C22" s="4">
        <f t="shared" si="0"/>
        <v>1.8500000000000016E-2</v>
      </c>
      <c r="D22">
        <v>29</v>
      </c>
      <c r="E22">
        <v>59</v>
      </c>
    </row>
    <row r="23" spans="1:5" x14ac:dyDescent="0.3">
      <c r="A23" t="s">
        <v>24</v>
      </c>
      <c r="B23" s="4">
        <v>0.40670000000000001</v>
      </c>
      <c r="C23" s="4">
        <f t="shared" si="0"/>
        <v>1.8500000000000016E-2</v>
      </c>
      <c r="D23">
        <v>29</v>
      </c>
      <c r="E23">
        <v>59</v>
      </c>
    </row>
    <row r="24" spans="1:5" x14ac:dyDescent="0.3">
      <c r="A24" t="s">
        <v>25</v>
      </c>
      <c r="B24" s="4">
        <v>0.42509999999999998</v>
      </c>
      <c r="C24" s="4">
        <f t="shared" si="0"/>
        <v>1.8399999999999972E-2</v>
      </c>
      <c r="D24">
        <v>29</v>
      </c>
      <c r="E24">
        <v>59</v>
      </c>
    </row>
    <row r="25" spans="1:5" x14ac:dyDescent="0.3">
      <c r="A25" t="s">
        <v>26</v>
      </c>
      <c r="B25" s="4">
        <v>0.44359999999999999</v>
      </c>
      <c r="C25" s="4">
        <f t="shared" si="0"/>
        <v>1.8500000000000016E-2</v>
      </c>
      <c r="D25">
        <v>29</v>
      </c>
      <c r="E25">
        <v>59</v>
      </c>
    </row>
    <row r="26" spans="1:5" x14ac:dyDescent="0.3">
      <c r="A26" t="s">
        <v>27</v>
      </c>
      <c r="B26" s="4">
        <v>0.46210000000000001</v>
      </c>
      <c r="C26" s="4">
        <f t="shared" si="0"/>
        <v>1.8500000000000016E-2</v>
      </c>
      <c r="D26">
        <v>29</v>
      </c>
      <c r="E26">
        <v>59</v>
      </c>
    </row>
    <row r="27" spans="1:5" x14ac:dyDescent="0.3">
      <c r="A27" t="s">
        <v>28</v>
      </c>
      <c r="B27" s="4">
        <v>0.48060000000000003</v>
      </c>
      <c r="C27" s="4">
        <f t="shared" si="0"/>
        <v>1.8500000000000016E-2</v>
      </c>
      <c r="D27">
        <v>35</v>
      </c>
      <c r="E27">
        <v>69</v>
      </c>
    </row>
    <row r="28" spans="1:5" x14ac:dyDescent="0.3">
      <c r="A28" t="s">
        <v>29</v>
      </c>
      <c r="B28" s="4">
        <v>0.49909999999999999</v>
      </c>
      <c r="C28" s="4">
        <f t="shared" si="0"/>
        <v>1.8499999999999961E-2</v>
      </c>
      <c r="D28">
        <v>35</v>
      </c>
      <c r="E28">
        <v>69</v>
      </c>
    </row>
    <row r="29" spans="1:5" x14ac:dyDescent="0.3">
      <c r="A29" t="s">
        <v>30</v>
      </c>
      <c r="B29" s="4">
        <v>0.51759999999999995</v>
      </c>
      <c r="C29" s="4">
        <f t="shared" si="0"/>
        <v>1.8499999999999961E-2</v>
      </c>
      <c r="D29">
        <v>35</v>
      </c>
      <c r="E29">
        <v>69</v>
      </c>
    </row>
    <row r="30" spans="1:5" x14ac:dyDescent="0.3">
      <c r="A30" t="s">
        <v>31</v>
      </c>
      <c r="B30" s="4">
        <v>0.53610000000000002</v>
      </c>
      <c r="C30" s="4">
        <f t="shared" si="0"/>
        <v>1.8500000000000072E-2</v>
      </c>
      <c r="D30">
        <v>35</v>
      </c>
      <c r="E30">
        <v>69</v>
      </c>
    </row>
    <row r="31" spans="1:5" x14ac:dyDescent="0.3">
      <c r="A31" t="s">
        <v>32</v>
      </c>
      <c r="B31" s="4">
        <v>0.55449999999999999</v>
      </c>
      <c r="C31" s="4">
        <f t="shared" si="0"/>
        <v>1.8399999999999972E-2</v>
      </c>
      <c r="D31">
        <v>35</v>
      </c>
      <c r="E31">
        <v>69</v>
      </c>
    </row>
    <row r="32" spans="1:5" x14ac:dyDescent="0.3">
      <c r="A32" t="s">
        <v>33</v>
      </c>
      <c r="B32" s="4">
        <v>0.57299999999999995</v>
      </c>
      <c r="C32" s="4">
        <f t="shared" si="0"/>
        <v>1.8499999999999961E-2</v>
      </c>
      <c r="D32">
        <v>41</v>
      </c>
      <c r="E32">
        <v>78</v>
      </c>
    </row>
    <row r="33" spans="1:5" x14ac:dyDescent="0.3">
      <c r="A33" t="s">
        <v>34</v>
      </c>
      <c r="B33" s="4">
        <v>0.59150000000000003</v>
      </c>
      <c r="C33" s="4">
        <f t="shared" si="0"/>
        <v>1.8500000000000072E-2</v>
      </c>
      <c r="D33">
        <v>41</v>
      </c>
      <c r="E33">
        <v>78</v>
      </c>
    </row>
    <row r="34" spans="1:5" x14ac:dyDescent="0.3">
      <c r="A34" t="s">
        <v>35</v>
      </c>
      <c r="B34" s="4">
        <v>0.61</v>
      </c>
      <c r="C34" s="4">
        <f t="shared" si="0"/>
        <v>1.8499999999999961E-2</v>
      </c>
      <c r="D34">
        <v>41</v>
      </c>
      <c r="E34">
        <v>78</v>
      </c>
    </row>
    <row r="35" spans="1:5" x14ac:dyDescent="0.3">
      <c r="A35" t="s">
        <v>36</v>
      </c>
      <c r="B35" s="4">
        <v>0.62849999999999995</v>
      </c>
      <c r="C35" s="4">
        <f t="shared" si="0"/>
        <v>1.8499999999999961E-2</v>
      </c>
      <c r="D35">
        <v>41</v>
      </c>
      <c r="E35">
        <v>78</v>
      </c>
    </row>
    <row r="36" spans="1:5" x14ac:dyDescent="0.3">
      <c r="A36" t="s">
        <v>37</v>
      </c>
      <c r="B36" s="4">
        <v>0.64700000000000002</v>
      </c>
      <c r="C36" s="4">
        <f t="shared" si="0"/>
        <v>1.8500000000000072E-2</v>
      </c>
      <c r="D36">
        <v>41</v>
      </c>
      <c r="E36">
        <v>78</v>
      </c>
    </row>
    <row r="37" spans="1:5" x14ac:dyDescent="0.3">
      <c r="A37" t="s">
        <v>38</v>
      </c>
      <c r="B37" s="4">
        <v>0.66539999999999999</v>
      </c>
      <c r="C37" s="4">
        <f t="shared" si="0"/>
        <v>1.8399999999999972E-2</v>
      </c>
      <c r="D37">
        <v>47</v>
      </c>
      <c r="E37">
        <v>88</v>
      </c>
    </row>
    <row r="38" spans="1:5" x14ac:dyDescent="0.3">
      <c r="A38" t="s">
        <v>39</v>
      </c>
      <c r="B38" s="4">
        <v>0.68389999999999995</v>
      </c>
      <c r="C38" s="4">
        <f t="shared" si="0"/>
        <v>1.8499999999999961E-2</v>
      </c>
      <c r="D38">
        <v>47</v>
      </c>
      <c r="E38">
        <v>88</v>
      </c>
    </row>
    <row r="39" spans="1:5" x14ac:dyDescent="0.3">
      <c r="A39" t="s">
        <v>40</v>
      </c>
      <c r="B39" s="4">
        <v>0.70240000000000002</v>
      </c>
      <c r="C39" s="4">
        <f t="shared" si="0"/>
        <v>1.8500000000000072E-2</v>
      </c>
      <c r="D39">
        <v>47</v>
      </c>
      <c r="E39">
        <v>88</v>
      </c>
    </row>
    <row r="40" spans="1:5" x14ac:dyDescent="0.3">
      <c r="A40" t="s">
        <v>41</v>
      </c>
      <c r="B40" s="4">
        <v>0.72089999999999999</v>
      </c>
      <c r="C40" s="4">
        <f t="shared" si="0"/>
        <v>1.8499999999999961E-2</v>
      </c>
      <c r="D40">
        <v>47</v>
      </c>
      <c r="E40">
        <v>88</v>
      </c>
    </row>
    <row r="41" spans="1:5" x14ac:dyDescent="0.3">
      <c r="A41" t="s">
        <v>42</v>
      </c>
      <c r="B41" s="4">
        <v>0.73939999999999995</v>
      </c>
      <c r="C41" s="4">
        <f t="shared" si="0"/>
        <v>1.8499999999999961E-2</v>
      </c>
      <c r="D41">
        <v>47</v>
      </c>
      <c r="E41">
        <v>88</v>
      </c>
    </row>
    <row r="42" spans="1:5" x14ac:dyDescent="0.3">
      <c r="A42" t="s">
        <v>43</v>
      </c>
      <c r="B42" s="4">
        <v>0.75790000000000002</v>
      </c>
      <c r="C42" s="4">
        <f t="shared" si="0"/>
        <v>1.8500000000000072E-2</v>
      </c>
      <c r="D42">
        <v>53</v>
      </c>
      <c r="E42">
        <v>98</v>
      </c>
    </row>
    <row r="43" spans="1:5" x14ac:dyDescent="0.3">
      <c r="A43" t="s">
        <v>44</v>
      </c>
      <c r="B43" s="4">
        <v>0.77639999999999998</v>
      </c>
      <c r="C43" s="4">
        <f t="shared" si="0"/>
        <v>1.8499999999999961E-2</v>
      </c>
      <c r="D43">
        <v>53</v>
      </c>
      <c r="E43">
        <v>98</v>
      </c>
    </row>
    <row r="44" spans="1:5" x14ac:dyDescent="0.3">
      <c r="A44" t="s">
        <v>45</v>
      </c>
      <c r="B44" s="4">
        <v>0.79479999999999995</v>
      </c>
      <c r="C44" s="4">
        <f t="shared" si="0"/>
        <v>1.8399999999999972E-2</v>
      </c>
      <c r="D44">
        <v>53</v>
      </c>
      <c r="E44">
        <v>98</v>
      </c>
    </row>
    <row r="45" spans="1:5" x14ac:dyDescent="0.3">
      <c r="A45" t="s">
        <v>46</v>
      </c>
      <c r="B45" s="4">
        <v>0.81330000000000002</v>
      </c>
      <c r="C45" s="4">
        <f t="shared" si="0"/>
        <v>1.8500000000000072E-2</v>
      </c>
      <c r="D45">
        <v>53</v>
      </c>
      <c r="E45">
        <v>98</v>
      </c>
    </row>
    <row r="46" spans="1:5" x14ac:dyDescent="0.3">
      <c r="A46" t="s">
        <v>47</v>
      </c>
      <c r="B46" s="4">
        <v>0.83179999999999998</v>
      </c>
      <c r="C46" s="4">
        <f t="shared" si="0"/>
        <v>1.8499999999999961E-2</v>
      </c>
      <c r="D46">
        <v>53</v>
      </c>
      <c r="E46">
        <v>98</v>
      </c>
    </row>
    <row r="47" spans="1:5" x14ac:dyDescent="0.3">
      <c r="A47" t="s">
        <v>48</v>
      </c>
      <c r="B47" s="4">
        <v>0.85029999999999994</v>
      </c>
      <c r="C47" s="4">
        <f t="shared" si="0"/>
        <v>1.8499999999999961E-2</v>
      </c>
      <c r="D47">
        <v>59</v>
      </c>
      <c r="E47">
        <v>108</v>
      </c>
    </row>
    <row r="48" spans="1:5" x14ac:dyDescent="0.3">
      <c r="A48" t="s">
        <v>49</v>
      </c>
      <c r="B48" s="4">
        <v>0.86880000000000002</v>
      </c>
      <c r="C48" s="4">
        <f t="shared" si="0"/>
        <v>1.8500000000000072E-2</v>
      </c>
      <c r="D48">
        <v>59</v>
      </c>
      <c r="E48">
        <v>108</v>
      </c>
    </row>
    <row r="49" spans="1:5" x14ac:dyDescent="0.3">
      <c r="A49" t="s">
        <v>50</v>
      </c>
      <c r="B49" s="4">
        <v>0.88729999999999998</v>
      </c>
      <c r="C49" s="4">
        <f t="shared" si="0"/>
        <v>1.8499999999999961E-2</v>
      </c>
      <c r="D49">
        <v>59</v>
      </c>
      <c r="E49">
        <v>108</v>
      </c>
    </row>
    <row r="50" spans="1:5" x14ac:dyDescent="0.3">
      <c r="A50" t="s">
        <v>51</v>
      </c>
      <c r="B50" s="4">
        <v>0.90569999999999995</v>
      </c>
      <c r="C50" s="4">
        <f t="shared" si="0"/>
        <v>1.8399999999999972E-2</v>
      </c>
      <c r="D50">
        <v>59</v>
      </c>
      <c r="E50">
        <v>108</v>
      </c>
    </row>
    <row r="51" spans="1:5" x14ac:dyDescent="0.3">
      <c r="A51" t="s">
        <v>52</v>
      </c>
      <c r="B51" s="4">
        <v>0.92420000000000002</v>
      </c>
      <c r="C51" s="4">
        <f t="shared" si="0"/>
        <v>1.8500000000000072E-2</v>
      </c>
      <c r="D51">
        <v>59</v>
      </c>
      <c r="E51">
        <v>108</v>
      </c>
    </row>
    <row r="52" spans="1:5" x14ac:dyDescent="0.3">
      <c r="A52" t="s">
        <v>53</v>
      </c>
      <c r="B52" s="4">
        <v>0.94269999999999998</v>
      </c>
      <c r="C52" s="4">
        <f t="shared" si="0"/>
        <v>1.8499999999999961E-2</v>
      </c>
      <c r="D52">
        <v>65</v>
      </c>
      <c r="E52">
        <v>118</v>
      </c>
    </row>
  </sheetData>
  <pageMargins left="0.75" right="0.75" top="1" bottom="1" header="0.5" footer="0.5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B7CD-6EF3-4EE3-B0CF-8DD7E32B2EF4}">
  <dimension ref="A1:X141"/>
  <sheetViews>
    <sheetView workbookViewId="0">
      <selection activeCell="C3" sqref="C3"/>
    </sheetView>
  </sheetViews>
  <sheetFormatPr defaultRowHeight="14.4" x14ac:dyDescent="0.3"/>
  <cols>
    <col min="1" max="1" width="20" customWidth="1"/>
    <col min="2" max="3" width="19" customWidth="1"/>
    <col min="4" max="4" width="13.77734375" customWidth="1"/>
    <col min="5" max="5" width="12" customWidth="1"/>
    <col min="6" max="6" width="20.77734375" customWidth="1"/>
    <col min="7" max="8" width="17.6640625" customWidth="1"/>
    <col min="9" max="9" width="25" customWidth="1"/>
    <col min="10" max="10" width="23.77734375" customWidth="1"/>
    <col min="11" max="11" width="17.6640625" customWidth="1"/>
    <col min="14" max="14" width="30.21875" customWidth="1"/>
    <col min="15" max="15" width="24.77734375" customWidth="1"/>
    <col min="23" max="24" width="17.77734375" customWidth="1"/>
  </cols>
  <sheetData>
    <row r="1" spans="1:24" x14ac:dyDescent="0.3">
      <c r="A1" s="1" t="s">
        <v>0</v>
      </c>
      <c r="B1" s="3" t="s">
        <v>1</v>
      </c>
      <c r="C1" s="3" t="s">
        <v>65</v>
      </c>
      <c r="D1" s="3" t="s">
        <v>66</v>
      </c>
      <c r="E1" s="3" t="s">
        <v>67</v>
      </c>
      <c r="F1" s="3" t="s">
        <v>54</v>
      </c>
      <c r="G1" s="2" t="s">
        <v>68</v>
      </c>
      <c r="H1" s="2" t="s">
        <v>69</v>
      </c>
      <c r="I1" s="2" t="s">
        <v>70</v>
      </c>
      <c r="J1" s="2" t="s">
        <v>71</v>
      </c>
      <c r="K1" s="2"/>
      <c r="L1" s="3" t="s">
        <v>58</v>
      </c>
      <c r="M1" s="3" t="s">
        <v>59</v>
      </c>
      <c r="N1" s="3"/>
      <c r="O1" s="3"/>
      <c r="W1" t="s">
        <v>72</v>
      </c>
      <c r="X1" t="s">
        <v>73</v>
      </c>
    </row>
    <row r="2" spans="1:24" x14ac:dyDescent="0.3">
      <c r="A2" s="7">
        <v>1</v>
      </c>
      <c r="B2" s="4">
        <v>0.129</v>
      </c>
      <c r="C2" s="4">
        <f>B2</f>
        <v>0.129</v>
      </c>
      <c r="D2" t="s">
        <v>3</v>
      </c>
      <c r="E2" t="s">
        <v>3</v>
      </c>
      <c r="F2" s="4">
        <f ca="1">SUM(INDIRECT("C" &amp; L2 &amp; ":C" &amp; M2))</f>
        <v>0.70300000000000007</v>
      </c>
      <c r="G2" s="5">
        <f ca="1">SUM(INDIRECT("D" &amp; L2 &amp; ":D" &amp; M2))</f>
        <v>674</v>
      </c>
      <c r="H2" s="5">
        <f ca="1">SUM(INDIRECT("E" &amp; L2 &amp; ":E" &amp; M2))</f>
        <v>2170</v>
      </c>
      <c r="I2" s="5">
        <f ca="1">G2/W2</f>
        <v>11.233333333333333</v>
      </c>
      <c r="J2" s="5">
        <f ca="1">H2/X2</f>
        <v>10.85</v>
      </c>
      <c r="K2" s="5"/>
      <c r="L2">
        <v>62</v>
      </c>
      <c r="M2">
        <v>101</v>
      </c>
      <c r="W2">
        <v>60</v>
      </c>
      <c r="X2">
        <v>200</v>
      </c>
    </row>
    <row r="3" spans="1:24" x14ac:dyDescent="0.3">
      <c r="A3" s="7">
        <v>2</v>
      </c>
      <c r="B3" s="4">
        <v>0.14599999999999999</v>
      </c>
      <c r="C3" s="4">
        <f>B3-B2</f>
        <v>1.6999999999999987E-2</v>
      </c>
      <c r="D3" s="8">
        <v>2</v>
      </c>
      <c r="E3" s="8">
        <v>4</v>
      </c>
    </row>
    <row r="4" spans="1:24" x14ac:dyDescent="0.3">
      <c r="A4" s="7">
        <v>3</v>
      </c>
      <c r="B4" s="4">
        <v>0.16400000000000001</v>
      </c>
      <c r="C4" s="4">
        <f t="shared" ref="C4:C67" si="0">B4-B3</f>
        <v>1.8000000000000016E-2</v>
      </c>
      <c r="D4" s="8">
        <v>2</v>
      </c>
      <c r="E4" s="8">
        <v>4</v>
      </c>
    </row>
    <row r="5" spans="1:24" x14ac:dyDescent="0.3">
      <c r="A5" s="7">
        <v>4</v>
      </c>
      <c r="B5" s="4">
        <v>0.18099999999999999</v>
      </c>
      <c r="C5" s="4">
        <f t="shared" si="0"/>
        <v>1.6999999999999987E-2</v>
      </c>
      <c r="D5" s="8">
        <v>2</v>
      </c>
      <c r="E5" s="8">
        <v>4</v>
      </c>
    </row>
    <row r="6" spans="1:24" x14ac:dyDescent="0.3">
      <c r="A6" s="7">
        <v>5</v>
      </c>
      <c r="B6" s="4">
        <v>0.19900000000000001</v>
      </c>
      <c r="C6" s="4">
        <f t="shared" si="0"/>
        <v>1.8000000000000016E-2</v>
      </c>
      <c r="D6" s="8">
        <v>2</v>
      </c>
      <c r="E6" s="8">
        <v>4</v>
      </c>
    </row>
    <row r="7" spans="1:24" x14ac:dyDescent="0.3">
      <c r="A7" s="7">
        <v>6</v>
      </c>
      <c r="B7" s="4">
        <v>0.217</v>
      </c>
      <c r="C7" s="4">
        <f t="shared" si="0"/>
        <v>1.7999999999999988E-2</v>
      </c>
      <c r="D7" s="8">
        <v>2</v>
      </c>
      <c r="E7" s="8">
        <v>4</v>
      </c>
    </row>
    <row r="8" spans="1:24" x14ac:dyDescent="0.3">
      <c r="A8" s="7">
        <v>7</v>
      </c>
      <c r="B8" s="4">
        <v>0.23400000000000001</v>
      </c>
      <c r="C8" s="4">
        <f t="shared" si="0"/>
        <v>1.7000000000000015E-2</v>
      </c>
      <c r="D8" s="8">
        <v>2</v>
      </c>
      <c r="E8" s="8">
        <v>4</v>
      </c>
    </row>
    <row r="9" spans="1:24" x14ac:dyDescent="0.3">
      <c r="A9" s="7">
        <v>8</v>
      </c>
      <c r="B9" s="4">
        <v>0.252</v>
      </c>
      <c r="C9" s="4">
        <f t="shared" si="0"/>
        <v>1.7999999999999988E-2</v>
      </c>
      <c r="D9" s="8">
        <v>2</v>
      </c>
      <c r="E9" s="8">
        <v>4</v>
      </c>
    </row>
    <row r="10" spans="1:24" x14ac:dyDescent="0.3">
      <c r="A10" s="7">
        <v>9</v>
      </c>
      <c r="B10" s="4">
        <v>0.26900000000000002</v>
      </c>
      <c r="C10" s="4">
        <f t="shared" si="0"/>
        <v>1.7000000000000015E-2</v>
      </c>
      <c r="D10" s="8">
        <v>2</v>
      </c>
      <c r="E10" s="8">
        <v>4</v>
      </c>
    </row>
    <row r="11" spans="1:24" x14ac:dyDescent="0.3">
      <c r="A11" s="7">
        <v>10</v>
      </c>
      <c r="B11" s="4">
        <v>0.28699999999999998</v>
      </c>
      <c r="C11" s="4">
        <f t="shared" si="0"/>
        <v>1.799999999999996E-2</v>
      </c>
      <c r="D11" s="8">
        <v>2</v>
      </c>
      <c r="E11" s="8">
        <v>4</v>
      </c>
    </row>
    <row r="12" spans="1:24" x14ac:dyDescent="0.3">
      <c r="A12" s="7">
        <v>11</v>
      </c>
      <c r="B12" s="4">
        <v>0.30399999999999999</v>
      </c>
      <c r="C12" s="4">
        <f t="shared" si="0"/>
        <v>1.7000000000000015E-2</v>
      </c>
      <c r="D12" s="8">
        <v>2</v>
      </c>
      <c r="E12" s="8">
        <v>4</v>
      </c>
    </row>
    <row r="13" spans="1:24" x14ac:dyDescent="0.3">
      <c r="A13" s="7">
        <v>12</v>
      </c>
      <c r="B13" s="4">
        <v>0.32200000000000001</v>
      </c>
      <c r="C13" s="4">
        <f t="shared" si="0"/>
        <v>1.8000000000000016E-2</v>
      </c>
      <c r="D13" s="8">
        <v>4</v>
      </c>
      <c r="E13" s="8">
        <v>8</v>
      </c>
    </row>
    <row r="14" spans="1:24" x14ac:dyDescent="0.3">
      <c r="A14" s="7">
        <v>13</v>
      </c>
      <c r="B14" s="6">
        <v>0.34</v>
      </c>
      <c r="C14" s="4">
        <f t="shared" si="0"/>
        <v>1.8000000000000016E-2</v>
      </c>
      <c r="D14" s="8">
        <v>4</v>
      </c>
      <c r="E14" s="8">
        <v>8</v>
      </c>
    </row>
    <row r="15" spans="1:24" x14ac:dyDescent="0.3">
      <c r="A15" s="7">
        <v>14</v>
      </c>
      <c r="B15" s="4">
        <v>0.35699999999999998</v>
      </c>
      <c r="C15" s="4">
        <f t="shared" si="0"/>
        <v>1.699999999999996E-2</v>
      </c>
      <c r="D15" s="8">
        <v>4</v>
      </c>
      <c r="E15" s="8">
        <v>8</v>
      </c>
    </row>
    <row r="16" spans="1:24" x14ac:dyDescent="0.3">
      <c r="A16" s="7">
        <v>15</v>
      </c>
      <c r="B16" s="4">
        <v>0.375</v>
      </c>
      <c r="C16" s="4">
        <f t="shared" si="0"/>
        <v>1.8000000000000016E-2</v>
      </c>
      <c r="D16" s="8">
        <v>4</v>
      </c>
      <c r="E16" s="8">
        <v>8</v>
      </c>
    </row>
    <row r="17" spans="1:18" x14ac:dyDescent="0.3">
      <c r="A17" s="7">
        <v>16</v>
      </c>
      <c r="B17" s="4">
        <v>0.39200000000000002</v>
      </c>
      <c r="C17" s="4">
        <f t="shared" si="0"/>
        <v>1.7000000000000015E-2</v>
      </c>
      <c r="D17" s="8">
        <v>4</v>
      </c>
      <c r="E17" s="8">
        <v>8</v>
      </c>
    </row>
    <row r="18" spans="1:18" x14ac:dyDescent="0.3">
      <c r="A18" s="7">
        <v>17</v>
      </c>
      <c r="B18" s="6">
        <v>0.41</v>
      </c>
      <c r="C18" s="4">
        <f t="shared" si="0"/>
        <v>1.799999999999996E-2</v>
      </c>
      <c r="D18" s="8">
        <v>4</v>
      </c>
      <c r="E18" s="8">
        <v>8</v>
      </c>
    </row>
    <row r="19" spans="1:18" x14ac:dyDescent="0.3">
      <c r="A19" s="7">
        <v>18</v>
      </c>
      <c r="B19" s="4">
        <v>0.42799999999999999</v>
      </c>
      <c r="C19" s="4">
        <f t="shared" si="0"/>
        <v>1.8000000000000016E-2</v>
      </c>
      <c r="D19" s="8">
        <v>4</v>
      </c>
      <c r="E19" s="8">
        <v>8</v>
      </c>
      <c r="R19">
        <f>10.33+10.1</f>
        <v>20.43</v>
      </c>
    </row>
    <row r="20" spans="1:18" x14ac:dyDescent="0.3">
      <c r="A20" s="7">
        <v>19</v>
      </c>
      <c r="B20" s="4">
        <v>0.44500000000000001</v>
      </c>
      <c r="C20" s="4">
        <f t="shared" si="0"/>
        <v>1.7000000000000015E-2</v>
      </c>
      <c r="D20" s="8">
        <v>4</v>
      </c>
      <c r="E20" s="8">
        <v>8</v>
      </c>
      <c r="R20">
        <f>3*(11.23+10.85)</f>
        <v>66.239999999999995</v>
      </c>
    </row>
    <row r="21" spans="1:18" x14ac:dyDescent="0.3">
      <c r="A21" s="7">
        <v>20</v>
      </c>
      <c r="B21" s="4">
        <v>0.46300000000000002</v>
      </c>
      <c r="C21" s="4">
        <f t="shared" si="0"/>
        <v>1.8000000000000016E-2</v>
      </c>
      <c r="D21" s="8">
        <v>4</v>
      </c>
      <c r="E21" s="8">
        <v>8</v>
      </c>
      <c r="R21">
        <f>R19+R20</f>
        <v>86.669999999999987</v>
      </c>
    </row>
    <row r="22" spans="1:18" x14ac:dyDescent="0.3">
      <c r="A22" s="9">
        <v>21</v>
      </c>
      <c r="B22" s="6">
        <v>0.48</v>
      </c>
      <c r="C22" s="4">
        <f t="shared" si="0"/>
        <v>1.699999999999996E-2</v>
      </c>
      <c r="D22" s="10">
        <v>4</v>
      </c>
      <c r="E22" s="10">
        <v>8</v>
      </c>
    </row>
    <row r="23" spans="1:18" x14ac:dyDescent="0.3">
      <c r="A23" s="9">
        <v>22</v>
      </c>
      <c r="B23" s="4">
        <v>0.498</v>
      </c>
      <c r="C23" s="4">
        <f t="shared" si="0"/>
        <v>1.8000000000000016E-2</v>
      </c>
      <c r="D23" s="10">
        <v>6</v>
      </c>
      <c r="E23" s="10">
        <v>12</v>
      </c>
    </row>
    <row r="24" spans="1:18" x14ac:dyDescent="0.3">
      <c r="A24" s="9">
        <v>23</v>
      </c>
      <c r="B24" s="4">
        <v>0.51500000000000001</v>
      </c>
      <c r="C24" s="4">
        <f t="shared" si="0"/>
        <v>1.7000000000000015E-2</v>
      </c>
      <c r="D24" s="10">
        <v>6</v>
      </c>
      <c r="E24" s="10">
        <v>12</v>
      </c>
    </row>
    <row r="25" spans="1:18" x14ac:dyDescent="0.3">
      <c r="A25" s="9">
        <v>24</v>
      </c>
      <c r="B25" s="4">
        <v>0.53300000000000003</v>
      </c>
      <c r="C25" s="4">
        <f t="shared" si="0"/>
        <v>1.8000000000000016E-2</v>
      </c>
      <c r="D25" s="10">
        <v>6</v>
      </c>
      <c r="E25" s="10">
        <v>12</v>
      </c>
    </row>
    <row r="26" spans="1:18" x14ac:dyDescent="0.3">
      <c r="A26" s="9">
        <v>25</v>
      </c>
      <c r="B26" s="4">
        <v>0.55100000000000005</v>
      </c>
      <c r="C26" s="4">
        <f t="shared" si="0"/>
        <v>1.8000000000000016E-2</v>
      </c>
      <c r="D26" s="10">
        <v>6</v>
      </c>
      <c r="E26" s="10">
        <v>12</v>
      </c>
    </row>
    <row r="27" spans="1:18" x14ac:dyDescent="0.3">
      <c r="A27" s="9">
        <v>26</v>
      </c>
      <c r="B27" s="4">
        <v>0.56799999999999995</v>
      </c>
      <c r="C27" s="4">
        <f t="shared" si="0"/>
        <v>1.6999999999999904E-2</v>
      </c>
      <c r="D27" s="10">
        <v>6</v>
      </c>
      <c r="E27" s="10">
        <v>12</v>
      </c>
    </row>
    <row r="28" spans="1:18" x14ac:dyDescent="0.3">
      <c r="A28" s="9">
        <v>27</v>
      </c>
      <c r="B28" s="4">
        <v>0.58599999999999997</v>
      </c>
      <c r="C28" s="4">
        <f t="shared" si="0"/>
        <v>1.8000000000000016E-2</v>
      </c>
      <c r="D28" s="10">
        <v>6</v>
      </c>
      <c r="E28" s="10">
        <v>12</v>
      </c>
    </row>
    <row r="29" spans="1:18" x14ac:dyDescent="0.3">
      <c r="A29" s="9">
        <v>28</v>
      </c>
      <c r="B29" s="4">
        <v>0.60299999999999998</v>
      </c>
      <c r="C29" s="4">
        <f t="shared" si="0"/>
        <v>1.7000000000000015E-2</v>
      </c>
      <c r="D29" s="10">
        <v>6</v>
      </c>
      <c r="E29" s="10">
        <v>12</v>
      </c>
    </row>
    <row r="30" spans="1:18" x14ac:dyDescent="0.3">
      <c r="A30" s="9">
        <v>29</v>
      </c>
      <c r="B30" s="4">
        <v>0.621</v>
      </c>
      <c r="C30" s="4">
        <f t="shared" si="0"/>
        <v>1.8000000000000016E-2</v>
      </c>
      <c r="D30" s="10">
        <v>6</v>
      </c>
      <c r="E30" s="10">
        <v>12</v>
      </c>
    </row>
    <row r="31" spans="1:18" x14ac:dyDescent="0.3">
      <c r="A31" s="9">
        <v>30</v>
      </c>
      <c r="B31" s="4">
        <v>0.63800000000000001</v>
      </c>
      <c r="C31" s="4">
        <f t="shared" si="0"/>
        <v>1.7000000000000015E-2</v>
      </c>
      <c r="D31" s="10">
        <v>6</v>
      </c>
      <c r="E31" s="10">
        <v>12</v>
      </c>
    </row>
    <row r="32" spans="1:18" x14ac:dyDescent="0.3">
      <c r="A32" s="9">
        <v>31</v>
      </c>
      <c r="B32" s="4">
        <v>0.65600000000000003</v>
      </c>
      <c r="C32" s="4">
        <f t="shared" si="0"/>
        <v>1.8000000000000016E-2</v>
      </c>
      <c r="D32" s="10">
        <v>6</v>
      </c>
      <c r="E32" s="10">
        <v>12</v>
      </c>
    </row>
    <row r="33" spans="1:5" x14ac:dyDescent="0.3">
      <c r="A33" s="9">
        <v>32</v>
      </c>
      <c r="B33" s="4">
        <v>0.67400000000000004</v>
      </c>
      <c r="C33" s="4">
        <f t="shared" si="0"/>
        <v>1.8000000000000016E-2</v>
      </c>
      <c r="D33" s="10">
        <v>8</v>
      </c>
      <c r="E33" s="10">
        <v>18</v>
      </c>
    </row>
    <row r="34" spans="1:5" x14ac:dyDescent="0.3">
      <c r="A34" s="9">
        <v>33</v>
      </c>
      <c r="B34" s="4">
        <v>0.69099999999999995</v>
      </c>
      <c r="C34" s="4">
        <f t="shared" si="0"/>
        <v>1.6999999999999904E-2</v>
      </c>
      <c r="D34" s="10">
        <v>8</v>
      </c>
      <c r="E34" s="10">
        <v>18</v>
      </c>
    </row>
    <row r="35" spans="1:5" x14ac:dyDescent="0.3">
      <c r="A35" s="9">
        <v>34</v>
      </c>
      <c r="B35" s="4">
        <v>0.70899999999999996</v>
      </c>
      <c r="C35" s="4">
        <f t="shared" si="0"/>
        <v>1.8000000000000016E-2</v>
      </c>
      <c r="D35" s="10">
        <v>8</v>
      </c>
      <c r="E35" s="10">
        <v>18</v>
      </c>
    </row>
    <row r="36" spans="1:5" x14ac:dyDescent="0.3">
      <c r="A36" s="9">
        <v>35</v>
      </c>
      <c r="B36" s="4">
        <v>0.72599999999999998</v>
      </c>
      <c r="C36" s="4">
        <f t="shared" si="0"/>
        <v>1.7000000000000015E-2</v>
      </c>
      <c r="D36" s="10">
        <v>8</v>
      </c>
      <c r="E36" s="10">
        <v>18</v>
      </c>
    </row>
    <row r="37" spans="1:5" x14ac:dyDescent="0.3">
      <c r="A37" s="9">
        <v>36</v>
      </c>
      <c r="B37" s="4">
        <v>0.74399999999999999</v>
      </c>
      <c r="C37" s="4">
        <f t="shared" si="0"/>
        <v>1.8000000000000016E-2</v>
      </c>
      <c r="D37" s="10">
        <v>8</v>
      </c>
      <c r="E37" s="10">
        <v>18</v>
      </c>
    </row>
    <row r="38" spans="1:5" x14ac:dyDescent="0.3">
      <c r="A38" s="9">
        <v>37</v>
      </c>
      <c r="B38" s="4">
        <v>0.76200000000000001</v>
      </c>
      <c r="C38" s="4">
        <f t="shared" si="0"/>
        <v>1.8000000000000016E-2</v>
      </c>
      <c r="D38" s="10">
        <v>8</v>
      </c>
      <c r="E38" s="10">
        <v>18</v>
      </c>
    </row>
    <row r="39" spans="1:5" x14ac:dyDescent="0.3">
      <c r="A39" s="9">
        <v>38</v>
      </c>
      <c r="B39" s="4">
        <v>0.77900000000000003</v>
      </c>
      <c r="C39" s="4">
        <f t="shared" si="0"/>
        <v>1.7000000000000015E-2</v>
      </c>
      <c r="D39" s="10">
        <v>8</v>
      </c>
      <c r="E39" s="10">
        <v>18</v>
      </c>
    </row>
    <row r="40" spans="1:5" x14ac:dyDescent="0.3">
      <c r="A40" s="9">
        <v>39</v>
      </c>
      <c r="B40" s="4">
        <v>0.79700000000000004</v>
      </c>
      <c r="C40" s="4">
        <f t="shared" si="0"/>
        <v>1.8000000000000016E-2</v>
      </c>
      <c r="D40" s="10">
        <v>8</v>
      </c>
      <c r="E40" s="10">
        <v>18</v>
      </c>
    </row>
    <row r="41" spans="1:5" x14ac:dyDescent="0.3">
      <c r="A41" s="9">
        <v>40</v>
      </c>
      <c r="B41" s="4">
        <v>0.81399999999999995</v>
      </c>
      <c r="C41" s="4">
        <f t="shared" si="0"/>
        <v>1.6999999999999904E-2</v>
      </c>
      <c r="D41" s="10">
        <v>8</v>
      </c>
      <c r="E41" s="10">
        <v>18</v>
      </c>
    </row>
    <row r="42" spans="1:5" x14ac:dyDescent="0.3">
      <c r="A42" s="11">
        <v>41</v>
      </c>
      <c r="B42" s="4">
        <v>0.83199999999999996</v>
      </c>
      <c r="C42" s="4">
        <f t="shared" si="0"/>
        <v>1.8000000000000016E-2</v>
      </c>
      <c r="D42" s="12">
        <v>8</v>
      </c>
      <c r="E42" s="12">
        <v>18</v>
      </c>
    </row>
    <row r="43" spans="1:5" x14ac:dyDescent="0.3">
      <c r="A43" s="11">
        <v>42</v>
      </c>
      <c r="B43" s="4">
        <v>0.84899999999999998</v>
      </c>
      <c r="C43" s="4">
        <f t="shared" si="0"/>
        <v>1.7000000000000015E-2</v>
      </c>
      <c r="D43" s="12">
        <v>10</v>
      </c>
      <c r="E43" s="12">
        <v>24</v>
      </c>
    </row>
    <row r="44" spans="1:5" x14ac:dyDescent="0.3">
      <c r="A44" s="11">
        <v>43</v>
      </c>
      <c r="B44" s="4">
        <v>0.86699999999999999</v>
      </c>
      <c r="C44" s="4">
        <f t="shared" si="0"/>
        <v>1.8000000000000016E-2</v>
      </c>
      <c r="D44" s="12">
        <v>10</v>
      </c>
      <c r="E44" s="12">
        <v>24</v>
      </c>
    </row>
    <row r="45" spans="1:5" x14ac:dyDescent="0.3">
      <c r="A45" s="11">
        <v>44</v>
      </c>
      <c r="B45" s="4">
        <v>0.88500000000000001</v>
      </c>
      <c r="C45" s="4">
        <f t="shared" si="0"/>
        <v>1.8000000000000016E-2</v>
      </c>
      <c r="D45" s="12">
        <v>10</v>
      </c>
      <c r="E45" s="12">
        <v>24</v>
      </c>
    </row>
    <row r="46" spans="1:5" x14ac:dyDescent="0.3">
      <c r="A46" s="11">
        <v>45</v>
      </c>
      <c r="B46" s="4">
        <v>0.90200000000000002</v>
      </c>
      <c r="C46" s="4">
        <f t="shared" si="0"/>
        <v>1.7000000000000015E-2</v>
      </c>
      <c r="D46" s="12">
        <v>10</v>
      </c>
      <c r="E46" s="12">
        <v>24</v>
      </c>
    </row>
    <row r="47" spans="1:5" x14ac:dyDescent="0.3">
      <c r="A47" s="11">
        <v>46</v>
      </c>
      <c r="B47" s="6">
        <v>0.92</v>
      </c>
      <c r="C47" s="4">
        <f t="shared" si="0"/>
        <v>1.8000000000000016E-2</v>
      </c>
      <c r="D47" s="12">
        <v>10</v>
      </c>
      <c r="E47" s="12">
        <v>24</v>
      </c>
    </row>
    <row r="48" spans="1:5" x14ac:dyDescent="0.3">
      <c r="A48" s="11">
        <v>47</v>
      </c>
      <c r="B48" s="4">
        <v>0.93700000000000006</v>
      </c>
      <c r="C48" s="4">
        <f t="shared" si="0"/>
        <v>1.7000000000000015E-2</v>
      </c>
      <c r="D48" s="12">
        <v>10</v>
      </c>
      <c r="E48" s="12">
        <v>24</v>
      </c>
    </row>
    <row r="49" spans="1:5" x14ac:dyDescent="0.3">
      <c r="A49" s="11">
        <v>48</v>
      </c>
      <c r="B49" s="4">
        <v>0.95499999999999996</v>
      </c>
      <c r="C49" s="4">
        <f t="shared" si="0"/>
        <v>1.7999999999999905E-2</v>
      </c>
      <c r="D49" s="12">
        <v>10</v>
      </c>
      <c r="E49" s="12">
        <v>24</v>
      </c>
    </row>
    <row r="50" spans="1:5" x14ac:dyDescent="0.3">
      <c r="A50" s="11">
        <v>49</v>
      </c>
      <c r="B50" s="4">
        <v>0.97299999999999998</v>
      </c>
      <c r="C50" s="4">
        <f t="shared" si="0"/>
        <v>1.8000000000000016E-2</v>
      </c>
      <c r="D50" s="12">
        <v>10</v>
      </c>
      <c r="E50" s="12">
        <v>24</v>
      </c>
    </row>
    <row r="51" spans="1:5" x14ac:dyDescent="0.3">
      <c r="A51" s="11">
        <v>50</v>
      </c>
      <c r="B51" s="6">
        <v>0.99</v>
      </c>
      <c r="C51" s="4">
        <f t="shared" si="0"/>
        <v>1.7000000000000015E-2</v>
      </c>
      <c r="D51" s="12">
        <v>10</v>
      </c>
      <c r="E51" s="12">
        <v>24</v>
      </c>
    </row>
    <row r="52" spans="1:5" x14ac:dyDescent="0.3">
      <c r="A52" s="11">
        <v>51</v>
      </c>
      <c r="B52" s="4">
        <v>1.008</v>
      </c>
      <c r="C52" s="4">
        <f t="shared" si="0"/>
        <v>1.8000000000000016E-2</v>
      </c>
      <c r="D52" s="12">
        <v>10</v>
      </c>
      <c r="E52" s="12">
        <v>24</v>
      </c>
    </row>
    <row r="53" spans="1:5" x14ac:dyDescent="0.3">
      <c r="A53" s="11">
        <v>52</v>
      </c>
      <c r="B53" s="4">
        <v>1.0249999999999999</v>
      </c>
      <c r="C53" s="4">
        <f t="shared" si="0"/>
        <v>1.6999999999999904E-2</v>
      </c>
      <c r="D53" s="12">
        <v>12</v>
      </c>
      <c r="E53" s="12">
        <v>30</v>
      </c>
    </row>
    <row r="54" spans="1:5" x14ac:dyDescent="0.3">
      <c r="A54" s="11">
        <v>53</v>
      </c>
      <c r="B54" s="4">
        <v>1.0429999999999999</v>
      </c>
      <c r="C54" s="4">
        <f t="shared" si="0"/>
        <v>1.8000000000000016E-2</v>
      </c>
      <c r="D54" s="12">
        <v>12</v>
      </c>
      <c r="E54" s="12">
        <v>30</v>
      </c>
    </row>
    <row r="55" spans="1:5" x14ac:dyDescent="0.3">
      <c r="A55" s="11">
        <v>54</v>
      </c>
      <c r="B55" s="6">
        <v>1.06</v>
      </c>
      <c r="C55" s="4">
        <f t="shared" si="0"/>
        <v>1.7000000000000126E-2</v>
      </c>
      <c r="D55" s="12">
        <v>12</v>
      </c>
      <c r="E55" s="12">
        <v>30</v>
      </c>
    </row>
    <row r="56" spans="1:5" x14ac:dyDescent="0.3">
      <c r="A56" s="11">
        <v>55</v>
      </c>
      <c r="B56" s="4">
        <v>1.0780000000000001</v>
      </c>
      <c r="C56" s="4">
        <f t="shared" si="0"/>
        <v>1.8000000000000016E-2</v>
      </c>
      <c r="D56" s="12">
        <v>12</v>
      </c>
      <c r="E56" s="12">
        <v>30</v>
      </c>
    </row>
    <row r="57" spans="1:5" x14ac:dyDescent="0.3">
      <c r="A57" s="11">
        <v>56</v>
      </c>
      <c r="B57" s="4">
        <v>1.0960000000000001</v>
      </c>
      <c r="C57" s="4">
        <f t="shared" si="0"/>
        <v>1.8000000000000016E-2</v>
      </c>
      <c r="D57" s="12">
        <v>12</v>
      </c>
      <c r="E57" s="12">
        <v>30</v>
      </c>
    </row>
    <row r="58" spans="1:5" x14ac:dyDescent="0.3">
      <c r="A58" s="11">
        <v>57</v>
      </c>
      <c r="B58" s="4">
        <v>1.113</v>
      </c>
      <c r="C58" s="4">
        <f t="shared" si="0"/>
        <v>1.6999999999999904E-2</v>
      </c>
      <c r="D58" s="12">
        <v>12</v>
      </c>
      <c r="E58" s="12">
        <v>30</v>
      </c>
    </row>
    <row r="59" spans="1:5" x14ac:dyDescent="0.3">
      <c r="A59" s="11">
        <v>58</v>
      </c>
      <c r="B59" s="4">
        <v>1.131</v>
      </c>
      <c r="C59" s="4">
        <f t="shared" si="0"/>
        <v>1.8000000000000016E-2</v>
      </c>
      <c r="D59" s="12">
        <v>12</v>
      </c>
      <c r="E59" s="12">
        <v>30</v>
      </c>
    </row>
    <row r="60" spans="1:5" x14ac:dyDescent="0.3">
      <c r="A60" s="11">
        <v>59</v>
      </c>
      <c r="B60" s="4">
        <v>1.1479999999999999</v>
      </c>
      <c r="C60" s="4">
        <f t="shared" si="0"/>
        <v>1.6999999999999904E-2</v>
      </c>
      <c r="D60" s="12">
        <v>12</v>
      </c>
      <c r="E60" s="12">
        <v>30</v>
      </c>
    </row>
    <row r="61" spans="1:5" x14ac:dyDescent="0.3">
      <c r="A61" s="11">
        <v>60</v>
      </c>
      <c r="B61" s="4">
        <v>1.1659999999999999</v>
      </c>
      <c r="C61" s="4">
        <f t="shared" si="0"/>
        <v>1.8000000000000016E-2</v>
      </c>
      <c r="D61" s="12">
        <v>12</v>
      </c>
      <c r="E61" s="12">
        <v>30</v>
      </c>
    </row>
    <row r="62" spans="1:5" x14ac:dyDescent="0.3">
      <c r="A62" s="13">
        <v>61</v>
      </c>
      <c r="B62" s="4">
        <v>1.1830000000000001</v>
      </c>
      <c r="C62" s="4">
        <f t="shared" si="0"/>
        <v>1.7000000000000126E-2</v>
      </c>
      <c r="D62" s="14">
        <v>12</v>
      </c>
      <c r="E62" s="14">
        <v>30</v>
      </c>
    </row>
    <row r="63" spans="1:5" x14ac:dyDescent="0.3">
      <c r="A63" s="13">
        <v>62</v>
      </c>
      <c r="B63" s="4">
        <v>1.2010000000000001</v>
      </c>
      <c r="C63" s="4">
        <f t="shared" si="0"/>
        <v>1.8000000000000016E-2</v>
      </c>
      <c r="D63" s="14">
        <v>14</v>
      </c>
      <c r="E63" s="14">
        <v>40</v>
      </c>
    </row>
    <row r="64" spans="1:5" x14ac:dyDescent="0.3">
      <c r="A64" s="13">
        <v>63</v>
      </c>
      <c r="B64" s="4">
        <v>1.2190000000000001</v>
      </c>
      <c r="C64" s="4">
        <f t="shared" si="0"/>
        <v>1.8000000000000016E-2</v>
      </c>
      <c r="D64" s="14">
        <v>14</v>
      </c>
      <c r="E64" s="14">
        <v>40</v>
      </c>
    </row>
    <row r="65" spans="1:5" x14ac:dyDescent="0.3">
      <c r="A65" s="13">
        <v>64</v>
      </c>
      <c r="B65" s="4">
        <v>1.236</v>
      </c>
      <c r="C65" s="4">
        <f t="shared" si="0"/>
        <v>1.6999999999999904E-2</v>
      </c>
      <c r="D65" s="14">
        <v>14</v>
      </c>
      <c r="E65" s="14">
        <v>40</v>
      </c>
    </row>
    <row r="66" spans="1:5" x14ac:dyDescent="0.3">
      <c r="A66" s="13">
        <v>65</v>
      </c>
      <c r="B66" s="4">
        <v>1.254</v>
      </c>
      <c r="C66" s="4">
        <f t="shared" si="0"/>
        <v>1.8000000000000016E-2</v>
      </c>
      <c r="D66" s="14">
        <v>14</v>
      </c>
      <c r="E66" s="14">
        <v>40</v>
      </c>
    </row>
    <row r="67" spans="1:5" x14ac:dyDescent="0.3">
      <c r="A67" s="13">
        <v>66</v>
      </c>
      <c r="B67" s="4">
        <v>1.2709999999999999</v>
      </c>
      <c r="C67" s="4">
        <f t="shared" si="0"/>
        <v>1.6999999999999904E-2</v>
      </c>
      <c r="D67" s="14">
        <v>14</v>
      </c>
      <c r="E67" s="14">
        <v>40</v>
      </c>
    </row>
    <row r="68" spans="1:5" x14ac:dyDescent="0.3">
      <c r="A68" s="13">
        <v>67</v>
      </c>
      <c r="B68" s="4">
        <v>1.2889999999999999</v>
      </c>
      <c r="C68" s="4">
        <f t="shared" ref="C68:C131" si="1">B68-B67</f>
        <v>1.8000000000000016E-2</v>
      </c>
      <c r="D68" s="14">
        <v>14</v>
      </c>
      <c r="E68" s="14">
        <v>40</v>
      </c>
    </row>
    <row r="69" spans="1:5" x14ac:dyDescent="0.3">
      <c r="A69" s="13">
        <v>68</v>
      </c>
      <c r="B69" s="4">
        <v>1.3069999999999999</v>
      </c>
      <c r="C69" s="4">
        <f t="shared" si="1"/>
        <v>1.8000000000000016E-2</v>
      </c>
      <c r="D69" s="14">
        <v>14</v>
      </c>
      <c r="E69" s="14">
        <v>40</v>
      </c>
    </row>
    <row r="70" spans="1:5" x14ac:dyDescent="0.3">
      <c r="A70" s="13">
        <v>69</v>
      </c>
      <c r="B70" s="4">
        <v>1.3240000000000001</v>
      </c>
      <c r="C70" s="4">
        <f t="shared" si="1"/>
        <v>1.7000000000000126E-2</v>
      </c>
      <c r="D70" s="14">
        <v>14</v>
      </c>
      <c r="E70" s="14">
        <v>40</v>
      </c>
    </row>
    <row r="71" spans="1:5" x14ac:dyDescent="0.3">
      <c r="A71" s="13">
        <v>70</v>
      </c>
      <c r="B71" s="4">
        <v>1.3420000000000001</v>
      </c>
      <c r="C71" s="4">
        <f t="shared" si="1"/>
        <v>1.8000000000000016E-2</v>
      </c>
      <c r="D71" s="14">
        <v>14</v>
      </c>
      <c r="E71" s="14">
        <v>40</v>
      </c>
    </row>
    <row r="72" spans="1:5" x14ac:dyDescent="0.3">
      <c r="A72" s="13">
        <v>71</v>
      </c>
      <c r="B72" s="4">
        <v>1.359</v>
      </c>
      <c r="C72" s="4">
        <f t="shared" si="1"/>
        <v>1.6999999999999904E-2</v>
      </c>
      <c r="D72" s="14">
        <v>16</v>
      </c>
      <c r="E72" s="14">
        <v>50</v>
      </c>
    </row>
    <row r="73" spans="1:5" x14ac:dyDescent="0.3">
      <c r="A73" s="13">
        <v>72</v>
      </c>
      <c r="B73" s="4">
        <v>1.377</v>
      </c>
      <c r="C73" s="4">
        <f t="shared" si="1"/>
        <v>1.8000000000000016E-2</v>
      </c>
      <c r="D73" s="14">
        <v>16</v>
      </c>
      <c r="E73" s="14">
        <v>50</v>
      </c>
    </row>
    <row r="74" spans="1:5" x14ac:dyDescent="0.3">
      <c r="A74" s="13">
        <v>73</v>
      </c>
      <c r="B74" s="4">
        <v>1.3939999999999999</v>
      </c>
      <c r="C74" s="4">
        <f t="shared" si="1"/>
        <v>1.6999999999999904E-2</v>
      </c>
      <c r="D74" s="14">
        <v>16</v>
      </c>
      <c r="E74" s="14">
        <v>50</v>
      </c>
    </row>
    <row r="75" spans="1:5" x14ac:dyDescent="0.3">
      <c r="A75" s="13">
        <v>74</v>
      </c>
      <c r="B75" s="4">
        <v>1.4119999999999999</v>
      </c>
      <c r="C75" s="4">
        <f t="shared" si="1"/>
        <v>1.8000000000000016E-2</v>
      </c>
      <c r="D75" s="14">
        <v>16</v>
      </c>
      <c r="E75" s="14">
        <v>50</v>
      </c>
    </row>
    <row r="76" spans="1:5" x14ac:dyDescent="0.3">
      <c r="A76" s="13">
        <v>75</v>
      </c>
      <c r="B76" s="6">
        <v>1.43</v>
      </c>
      <c r="C76" s="4">
        <f t="shared" si="1"/>
        <v>1.8000000000000016E-2</v>
      </c>
      <c r="D76" s="14">
        <v>16</v>
      </c>
      <c r="E76" s="14">
        <v>50</v>
      </c>
    </row>
    <row r="77" spans="1:5" x14ac:dyDescent="0.3">
      <c r="A77" s="13">
        <v>76</v>
      </c>
      <c r="B77" s="4">
        <v>1.4470000000000001</v>
      </c>
      <c r="C77" s="4">
        <f t="shared" si="1"/>
        <v>1.7000000000000126E-2</v>
      </c>
      <c r="D77" s="14">
        <v>16</v>
      </c>
      <c r="E77" s="14">
        <v>50</v>
      </c>
    </row>
    <row r="78" spans="1:5" x14ac:dyDescent="0.3">
      <c r="A78" s="13">
        <v>77</v>
      </c>
      <c r="B78" s="4">
        <v>1.4650000000000001</v>
      </c>
      <c r="C78" s="4">
        <f t="shared" si="1"/>
        <v>1.8000000000000016E-2</v>
      </c>
      <c r="D78" s="14">
        <v>16</v>
      </c>
      <c r="E78" s="14">
        <v>50</v>
      </c>
    </row>
    <row r="79" spans="1:5" x14ac:dyDescent="0.3">
      <c r="A79" s="13">
        <v>78</v>
      </c>
      <c r="B79" s="4">
        <v>1.482</v>
      </c>
      <c r="C79" s="4">
        <f t="shared" si="1"/>
        <v>1.6999999999999904E-2</v>
      </c>
      <c r="D79" s="14">
        <v>16</v>
      </c>
      <c r="E79" s="14">
        <v>50</v>
      </c>
    </row>
    <row r="80" spans="1:5" x14ac:dyDescent="0.3">
      <c r="A80" s="13">
        <v>79</v>
      </c>
      <c r="B80" s="6">
        <v>1.5</v>
      </c>
      <c r="C80" s="4">
        <f t="shared" si="1"/>
        <v>1.8000000000000016E-2</v>
      </c>
      <c r="D80" s="14">
        <v>16</v>
      </c>
      <c r="E80" s="14">
        <v>50</v>
      </c>
    </row>
    <row r="81" spans="1:5" x14ac:dyDescent="0.3">
      <c r="A81" s="13">
        <v>80</v>
      </c>
      <c r="B81" s="4">
        <v>1.518</v>
      </c>
      <c r="C81" s="4">
        <f t="shared" si="1"/>
        <v>1.8000000000000016E-2</v>
      </c>
      <c r="D81" s="14">
        <v>16</v>
      </c>
      <c r="E81" s="14">
        <v>50</v>
      </c>
    </row>
    <row r="82" spans="1:5" x14ac:dyDescent="0.3">
      <c r="A82" s="15">
        <v>81</v>
      </c>
      <c r="B82" s="4">
        <v>1.5349999999999999</v>
      </c>
      <c r="C82" s="4">
        <f t="shared" si="1"/>
        <v>1.6999999999999904E-2</v>
      </c>
      <c r="D82" s="16">
        <v>16</v>
      </c>
      <c r="E82" s="16">
        <v>50</v>
      </c>
    </row>
    <row r="83" spans="1:5" x14ac:dyDescent="0.3">
      <c r="A83" s="15">
        <v>82</v>
      </c>
      <c r="B83" s="4">
        <v>1.5529999999999999</v>
      </c>
      <c r="C83" s="4">
        <f t="shared" si="1"/>
        <v>1.8000000000000016E-2</v>
      </c>
      <c r="D83" s="16">
        <v>18</v>
      </c>
      <c r="E83" s="16">
        <v>60</v>
      </c>
    </row>
    <row r="84" spans="1:5" x14ac:dyDescent="0.3">
      <c r="A84" s="15">
        <v>83</v>
      </c>
      <c r="B84" s="6">
        <v>1.57</v>
      </c>
      <c r="C84" s="4">
        <f t="shared" si="1"/>
        <v>1.7000000000000126E-2</v>
      </c>
      <c r="D84" s="16">
        <v>18</v>
      </c>
      <c r="E84" s="16">
        <v>60</v>
      </c>
    </row>
    <row r="85" spans="1:5" x14ac:dyDescent="0.3">
      <c r="A85" s="15">
        <v>84</v>
      </c>
      <c r="B85" s="4">
        <v>1.5880000000000001</v>
      </c>
      <c r="C85" s="4">
        <f t="shared" si="1"/>
        <v>1.8000000000000016E-2</v>
      </c>
      <c r="D85" s="16">
        <v>18</v>
      </c>
      <c r="E85" s="16">
        <v>60</v>
      </c>
    </row>
    <row r="86" spans="1:5" x14ac:dyDescent="0.3">
      <c r="A86" s="15">
        <v>85</v>
      </c>
      <c r="B86" s="4">
        <v>1.605</v>
      </c>
      <c r="C86" s="4">
        <f t="shared" si="1"/>
        <v>1.6999999999999904E-2</v>
      </c>
      <c r="D86" s="16">
        <v>18</v>
      </c>
      <c r="E86" s="16">
        <v>60</v>
      </c>
    </row>
    <row r="87" spans="1:5" x14ac:dyDescent="0.3">
      <c r="A87" s="15">
        <v>86</v>
      </c>
      <c r="B87" s="4">
        <v>1.623</v>
      </c>
      <c r="C87" s="4">
        <f t="shared" si="1"/>
        <v>1.8000000000000016E-2</v>
      </c>
      <c r="D87" s="16">
        <v>18</v>
      </c>
      <c r="E87" s="16">
        <v>60</v>
      </c>
    </row>
    <row r="88" spans="1:5" x14ac:dyDescent="0.3">
      <c r="A88" s="15">
        <v>87</v>
      </c>
      <c r="B88" s="4">
        <v>1.641</v>
      </c>
      <c r="C88" s="4">
        <f t="shared" si="1"/>
        <v>1.8000000000000016E-2</v>
      </c>
      <c r="D88" s="16">
        <v>18</v>
      </c>
      <c r="E88" s="16">
        <v>60</v>
      </c>
    </row>
    <row r="89" spans="1:5" x14ac:dyDescent="0.3">
      <c r="A89" s="15">
        <v>88</v>
      </c>
      <c r="B89" s="4">
        <v>1.6579999999999999</v>
      </c>
      <c r="C89" s="4">
        <f t="shared" si="1"/>
        <v>1.6999999999999904E-2</v>
      </c>
      <c r="D89" s="16">
        <v>18</v>
      </c>
      <c r="E89" s="16">
        <v>60</v>
      </c>
    </row>
    <row r="90" spans="1:5" x14ac:dyDescent="0.3">
      <c r="A90" s="15">
        <v>89</v>
      </c>
      <c r="B90" s="4">
        <v>1.6759999999999999</v>
      </c>
      <c r="C90" s="4">
        <f t="shared" si="1"/>
        <v>1.8000000000000016E-2</v>
      </c>
      <c r="D90" s="16">
        <v>18</v>
      </c>
      <c r="E90" s="16">
        <v>60</v>
      </c>
    </row>
    <row r="91" spans="1:5" x14ac:dyDescent="0.3">
      <c r="A91" s="15">
        <v>90</v>
      </c>
      <c r="B91" s="4">
        <v>1.6930000000000001</v>
      </c>
      <c r="C91" s="4">
        <f t="shared" si="1"/>
        <v>1.7000000000000126E-2</v>
      </c>
      <c r="D91" s="16">
        <v>18</v>
      </c>
      <c r="E91" s="16">
        <v>60</v>
      </c>
    </row>
    <row r="92" spans="1:5" x14ac:dyDescent="0.3">
      <c r="A92" s="15">
        <v>91</v>
      </c>
      <c r="B92" s="4">
        <v>1.7110000000000001</v>
      </c>
      <c r="C92" s="4">
        <f t="shared" si="1"/>
        <v>1.8000000000000016E-2</v>
      </c>
      <c r="D92" s="16">
        <v>18</v>
      </c>
      <c r="E92" s="16">
        <v>60</v>
      </c>
    </row>
    <row r="93" spans="1:5" x14ac:dyDescent="0.3">
      <c r="A93" s="15">
        <v>92</v>
      </c>
      <c r="B93" s="4">
        <v>1.7290000000000001</v>
      </c>
      <c r="C93" s="4">
        <f t="shared" si="1"/>
        <v>1.8000000000000016E-2</v>
      </c>
      <c r="D93" s="16">
        <v>20</v>
      </c>
      <c r="E93" s="16">
        <v>70</v>
      </c>
    </row>
    <row r="94" spans="1:5" x14ac:dyDescent="0.3">
      <c r="A94" s="15">
        <v>93</v>
      </c>
      <c r="B94" s="4">
        <v>1.746</v>
      </c>
      <c r="C94" s="4">
        <f t="shared" si="1"/>
        <v>1.6999999999999904E-2</v>
      </c>
      <c r="D94" s="16">
        <v>20</v>
      </c>
      <c r="E94" s="16">
        <v>70</v>
      </c>
    </row>
    <row r="95" spans="1:5" x14ac:dyDescent="0.3">
      <c r="A95" s="15">
        <v>94</v>
      </c>
      <c r="B95" s="4">
        <v>1.764</v>
      </c>
      <c r="C95" s="4">
        <f t="shared" si="1"/>
        <v>1.8000000000000016E-2</v>
      </c>
      <c r="D95" s="16">
        <v>20</v>
      </c>
      <c r="E95" s="16">
        <v>70</v>
      </c>
    </row>
    <row r="96" spans="1:5" x14ac:dyDescent="0.3">
      <c r="A96" s="15">
        <v>95</v>
      </c>
      <c r="B96" s="4">
        <v>1.7809999999999999</v>
      </c>
      <c r="C96" s="4">
        <f t="shared" si="1"/>
        <v>1.6999999999999904E-2</v>
      </c>
      <c r="D96" s="16">
        <v>20</v>
      </c>
      <c r="E96" s="16">
        <v>70</v>
      </c>
    </row>
    <row r="97" spans="1:5" x14ac:dyDescent="0.3">
      <c r="A97" s="15">
        <v>96</v>
      </c>
      <c r="B97" s="4">
        <v>1.7989999999999999</v>
      </c>
      <c r="C97" s="4">
        <f t="shared" si="1"/>
        <v>1.8000000000000016E-2</v>
      </c>
      <c r="D97" s="16">
        <v>20</v>
      </c>
      <c r="E97" s="16">
        <v>70</v>
      </c>
    </row>
    <row r="98" spans="1:5" x14ac:dyDescent="0.3">
      <c r="A98" s="15">
        <v>97</v>
      </c>
      <c r="B98" s="4">
        <v>1.8160000000000001</v>
      </c>
      <c r="C98" s="4">
        <f t="shared" si="1"/>
        <v>1.7000000000000126E-2</v>
      </c>
      <c r="D98" s="16">
        <v>20</v>
      </c>
      <c r="E98" s="16">
        <v>70</v>
      </c>
    </row>
    <row r="99" spans="1:5" x14ac:dyDescent="0.3">
      <c r="A99" s="15">
        <v>98</v>
      </c>
      <c r="B99" s="4">
        <v>1.8340000000000001</v>
      </c>
      <c r="C99" s="4">
        <f t="shared" si="1"/>
        <v>1.8000000000000016E-2</v>
      </c>
      <c r="D99" s="16">
        <v>20</v>
      </c>
      <c r="E99" s="16">
        <v>70</v>
      </c>
    </row>
    <row r="100" spans="1:5" x14ac:dyDescent="0.3">
      <c r="A100" s="15">
        <v>99</v>
      </c>
      <c r="B100" s="4">
        <v>1.8520000000000001</v>
      </c>
      <c r="C100" s="4">
        <f t="shared" si="1"/>
        <v>1.8000000000000016E-2</v>
      </c>
      <c r="D100" s="16">
        <v>20</v>
      </c>
      <c r="E100" s="16">
        <v>70</v>
      </c>
    </row>
    <row r="101" spans="1:5" x14ac:dyDescent="0.3">
      <c r="A101" s="15">
        <v>100</v>
      </c>
      <c r="B101" s="4">
        <v>1.869</v>
      </c>
      <c r="C101" s="4">
        <f t="shared" si="1"/>
        <v>1.6999999999999904E-2</v>
      </c>
      <c r="D101" s="16">
        <v>20</v>
      </c>
      <c r="E101" s="16">
        <v>70</v>
      </c>
    </row>
    <row r="102" spans="1:5" x14ac:dyDescent="0.3">
      <c r="A102" s="17">
        <v>101</v>
      </c>
      <c r="B102" s="4">
        <v>1.887</v>
      </c>
      <c r="C102" s="4">
        <f t="shared" si="1"/>
        <v>1.8000000000000016E-2</v>
      </c>
      <c r="D102" s="18">
        <v>20</v>
      </c>
      <c r="E102" s="18">
        <v>70</v>
      </c>
    </row>
    <row r="103" spans="1:5" x14ac:dyDescent="0.3">
      <c r="A103" s="17">
        <v>102</v>
      </c>
      <c r="B103" s="4">
        <v>1.9039999999999999</v>
      </c>
      <c r="C103" s="4">
        <f t="shared" si="1"/>
        <v>1.6999999999999904E-2</v>
      </c>
      <c r="D103" s="18">
        <v>25</v>
      </c>
      <c r="E103" s="18">
        <v>90</v>
      </c>
    </row>
    <row r="104" spans="1:5" x14ac:dyDescent="0.3">
      <c r="A104" s="17">
        <v>103</v>
      </c>
      <c r="B104" s="4">
        <v>1.9219999999999999</v>
      </c>
      <c r="C104" s="4">
        <f t="shared" si="1"/>
        <v>1.8000000000000016E-2</v>
      </c>
      <c r="D104" s="18">
        <v>25</v>
      </c>
      <c r="E104" s="18">
        <v>90</v>
      </c>
    </row>
    <row r="105" spans="1:5" x14ac:dyDescent="0.3">
      <c r="A105" s="17">
        <v>104</v>
      </c>
      <c r="B105" s="4">
        <v>1.9390000000000001</v>
      </c>
      <c r="C105" s="4">
        <f t="shared" si="1"/>
        <v>1.7000000000000126E-2</v>
      </c>
      <c r="D105" s="18">
        <v>25</v>
      </c>
      <c r="E105" s="18">
        <v>90</v>
      </c>
    </row>
    <row r="106" spans="1:5" x14ac:dyDescent="0.3">
      <c r="A106" s="17">
        <v>105</v>
      </c>
      <c r="B106" s="4">
        <v>1.9570000000000001</v>
      </c>
      <c r="C106" s="4">
        <f t="shared" si="1"/>
        <v>1.8000000000000016E-2</v>
      </c>
      <c r="D106" s="18">
        <v>25</v>
      </c>
      <c r="E106" s="18">
        <v>90</v>
      </c>
    </row>
    <row r="107" spans="1:5" x14ac:dyDescent="0.3">
      <c r="A107" s="17">
        <v>106</v>
      </c>
      <c r="B107" s="4">
        <v>1.9750000000000001</v>
      </c>
      <c r="C107" s="4">
        <f t="shared" si="1"/>
        <v>1.8000000000000016E-2</v>
      </c>
      <c r="D107" s="18">
        <v>25</v>
      </c>
      <c r="E107" s="18">
        <v>90</v>
      </c>
    </row>
    <row r="108" spans="1:5" x14ac:dyDescent="0.3">
      <c r="A108" s="17">
        <v>107</v>
      </c>
      <c r="B108" s="4">
        <v>1.992</v>
      </c>
      <c r="C108" s="4">
        <f t="shared" si="1"/>
        <v>1.6999999999999904E-2</v>
      </c>
      <c r="D108" s="18">
        <v>25</v>
      </c>
      <c r="E108" s="18">
        <v>90</v>
      </c>
    </row>
    <row r="109" spans="1:5" x14ac:dyDescent="0.3">
      <c r="A109" s="17">
        <v>108</v>
      </c>
      <c r="B109" s="6">
        <v>2.0099999999999998</v>
      </c>
      <c r="C109" s="4">
        <f t="shared" si="1"/>
        <v>1.7999999999999794E-2</v>
      </c>
      <c r="D109" s="18">
        <v>25</v>
      </c>
      <c r="E109" s="18">
        <v>90</v>
      </c>
    </row>
    <row r="110" spans="1:5" x14ac:dyDescent="0.3">
      <c r="A110" s="17">
        <v>109</v>
      </c>
      <c r="B110" s="4">
        <v>2.0270000000000001</v>
      </c>
      <c r="C110" s="4">
        <f t="shared" si="1"/>
        <v>1.7000000000000348E-2</v>
      </c>
      <c r="D110" s="18">
        <v>25</v>
      </c>
      <c r="E110" s="18">
        <v>90</v>
      </c>
    </row>
    <row r="111" spans="1:5" x14ac:dyDescent="0.3">
      <c r="A111" s="17">
        <v>110</v>
      </c>
      <c r="B111" s="4">
        <v>2.0449999999999999</v>
      </c>
      <c r="C111" s="4">
        <f t="shared" si="1"/>
        <v>1.7999999999999794E-2</v>
      </c>
      <c r="D111" s="18">
        <v>25</v>
      </c>
      <c r="E111" s="18">
        <v>90</v>
      </c>
    </row>
    <row r="112" spans="1:5" x14ac:dyDescent="0.3">
      <c r="A112" s="17">
        <v>111</v>
      </c>
      <c r="B112" s="4">
        <v>2.0630000000000002</v>
      </c>
      <c r="C112" s="4">
        <f t="shared" si="1"/>
        <v>1.8000000000000238E-2</v>
      </c>
      <c r="D112" s="18">
        <v>25</v>
      </c>
      <c r="E112" s="18">
        <v>90</v>
      </c>
    </row>
    <row r="113" spans="1:5" x14ac:dyDescent="0.3">
      <c r="A113" s="17">
        <v>112</v>
      </c>
      <c r="B113" s="6">
        <v>2.08</v>
      </c>
      <c r="C113" s="4">
        <f t="shared" si="1"/>
        <v>1.6999999999999904E-2</v>
      </c>
      <c r="D113" s="18">
        <v>30</v>
      </c>
      <c r="E113" s="18">
        <v>120</v>
      </c>
    </row>
    <row r="114" spans="1:5" x14ac:dyDescent="0.3">
      <c r="A114" s="17">
        <v>113</v>
      </c>
      <c r="B114" s="4">
        <v>2.0979999999999999</v>
      </c>
      <c r="C114" s="4">
        <f t="shared" si="1"/>
        <v>1.7999999999999794E-2</v>
      </c>
      <c r="D114" s="18">
        <v>30</v>
      </c>
      <c r="E114" s="18">
        <v>120</v>
      </c>
    </row>
    <row r="115" spans="1:5" x14ac:dyDescent="0.3">
      <c r="A115" s="17">
        <v>114</v>
      </c>
      <c r="B115" s="4">
        <v>2.1150000000000002</v>
      </c>
      <c r="C115" s="4">
        <f t="shared" si="1"/>
        <v>1.7000000000000348E-2</v>
      </c>
      <c r="D115" s="18">
        <v>30</v>
      </c>
      <c r="E115" s="18">
        <v>120</v>
      </c>
    </row>
    <row r="116" spans="1:5" x14ac:dyDescent="0.3">
      <c r="A116" s="17">
        <v>115</v>
      </c>
      <c r="B116" s="4">
        <v>2.133</v>
      </c>
      <c r="C116" s="4">
        <f t="shared" si="1"/>
        <v>1.7999999999999794E-2</v>
      </c>
      <c r="D116" s="18">
        <v>30</v>
      </c>
      <c r="E116" s="18">
        <v>120</v>
      </c>
    </row>
    <row r="117" spans="1:5" x14ac:dyDescent="0.3">
      <c r="A117" s="17">
        <v>116</v>
      </c>
      <c r="B117" s="6">
        <v>2.15</v>
      </c>
      <c r="C117" s="4">
        <f t="shared" si="1"/>
        <v>1.6999999999999904E-2</v>
      </c>
      <c r="D117" s="18">
        <v>30</v>
      </c>
      <c r="E117" s="18">
        <v>120</v>
      </c>
    </row>
    <row r="118" spans="1:5" x14ac:dyDescent="0.3">
      <c r="A118" s="17">
        <v>117</v>
      </c>
      <c r="B118" s="4">
        <v>2.1680000000000001</v>
      </c>
      <c r="C118" s="4">
        <f t="shared" si="1"/>
        <v>1.8000000000000238E-2</v>
      </c>
      <c r="D118" s="18">
        <v>30</v>
      </c>
      <c r="E118" s="18">
        <v>120</v>
      </c>
    </row>
    <row r="119" spans="1:5" x14ac:dyDescent="0.3">
      <c r="A119" s="17">
        <v>118</v>
      </c>
      <c r="B119" s="4">
        <v>2.1859999999999999</v>
      </c>
      <c r="C119" s="4">
        <f t="shared" si="1"/>
        <v>1.7999999999999794E-2</v>
      </c>
      <c r="D119" s="18">
        <v>30</v>
      </c>
      <c r="E119" s="18">
        <v>120</v>
      </c>
    </row>
    <row r="120" spans="1:5" x14ac:dyDescent="0.3">
      <c r="A120" s="17">
        <v>119</v>
      </c>
      <c r="B120" s="4">
        <v>2.2029999999999998</v>
      </c>
      <c r="C120" s="4">
        <f t="shared" si="1"/>
        <v>1.6999999999999904E-2</v>
      </c>
      <c r="D120" s="18">
        <v>30</v>
      </c>
      <c r="E120" s="18">
        <v>120</v>
      </c>
    </row>
    <row r="121" spans="1:5" x14ac:dyDescent="0.3">
      <c r="A121" s="17">
        <v>120</v>
      </c>
      <c r="B121" s="4">
        <v>2.2210000000000001</v>
      </c>
      <c r="C121" s="4">
        <f t="shared" si="1"/>
        <v>1.8000000000000238E-2</v>
      </c>
      <c r="D121" s="18">
        <v>30</v>
      </c>
      <c r="E121" s="18">
        <v>120</v>
      </c>
    </row>
    <row r="122" spans="1:5" x14ac:dyDescent="0.3">
      <c r="A122" s="19">
        <v>121</v>
      </c>
      <c r="B122" s="4">
        <v>2.238</v>
      </c>
      <c r="C122" s="4">
        <f t="shared" si="1"/>
        <v>1.6999999999999904E-2</v>
      </c>
      <c r="D122" s="20">
        <v>30</v>
      </c>
      <c r="E122" s="20">
        <v>120</v>
      </c>
    </row>
    <row r="123" spans="1:5" x14ac:dyDescent="0.3">
      <c r="A123" s="19">
        <v>122</v>
      </c>
      <c r="B123" s="4">
        <v>2.2559999999999998</v>
      </c>
      <c r="C123" s="4">
        <f t="shared" si="1"/>
        <v>1.7999999999999794E-2</v>
      </c>
      <c r="D123" s="20">
        <v>35</v>
      </c>
      <c r="E123" s="20">
        <v>150</v>
      </c>
    </row>
    <row r="124" spans="1:5" x14ac:dyDescent="0.3">
      <c r="A124" s="19">
        <v>123</v>
      </c>
      <c r="B124" s="4">
        <v>2.274</v>
      </c>
      <c r="C124" s="4">
        <f t="shared" si="1"/>
        <v>1.8000000000000238E-2</v>
      </c>
      <c r="D124" s="20">
        <v>35</v>
      </c>
      <c r="E124" s="20">
        <v>150</v>
      </c>
    </row>
    <row r="125" spans="1:5" x14ac:dyDescent="0.3">
      <c r="A125" s="19">
        <v>124</v>
      </c>
      <c r="B125" s="4">
        <v>2.2909999999999999</v>
      </c>
      <c r="C125" s="4">
        <f t="shared" si="1"/>
        <v>1.6999999999999904E-2</v>
      </c>
      <c r="D125" s="20">
        <v>35</v>
      </c>
      <c r="E125" s="20">
        <v>150</v>
      </c>
    </row>
    <row r="126" spans="1:5" x14ac:dyDescent="0.3">
      <c r="A126" s="19">
        <v>125</v>
      </c>
      <c r="B126" s="4">
        <v>2.3090000000000002</v>
      </c>
      <c r="C126" s="4">
        <f t="shared" si="1"/>
        <v>1.8000000000000238E-2</v>
      </c>
      <c r="D126" s="20">
        <v>35</v>
      </c>
      <c r="E126" s="20">
        <v>150</v>
      </c>
    </row>
    <row r="127" spans="1:5" x14ac:dyDescent="0.3">
      <c r="A127" s="19">
        <v>126</v>
      </c>
      <c r="B127" s="4">
        <v>2.3260000000000001</v>
      </c>
      <c r="C127" s="4">
        <f t="shared" si="1"/>
        <v>1.6999999999999904E-2</v>
      </c>
      <c r="D127" s="20">
        <v>35</v>
      </c>
      <c r="E127" s="20">
        <v>150</v>
      </c>
    </row>
    <row r="128" spans="1:5" x14ac:dyDescent="0.3">
      <c r="A128" s="19">
        <v>127</v>
      </c>
      <c r="B128" s="4">
        <v>2.3439999999999999</v>
      </c>
      <c r="C128" s="4">
        <f t="shared" si="1"/>
        <v>1.7999999999999794E-2</v>
      </c>
      <c r="D128" s="20">
        <v>35</v>
      </c>
      <c r="E128" s="20">
        <v>150</v>
      </c>
    </row>
    <row r="129" spans="1:5" x14ac:dyDescent="0.3">
      <c r="A129" s="19">
        <v>128</v>
      </c>
      <c r="B129" s="4">
        <v>2.3610000000000002</v>
      </c>
      <c r="C129" s="4">
        <f t="shared" si="1"/>
        <v>1.7000000000000348E-2</v>
      </c>
      <c r="D129" s="20">
        <v>35</v>
      </c>
      <c r="E129" s="20">
        <v>150</v>
      </c>
    </row>
    <row r="130" spans="1:5" x14ac:dyDescent="0.3">
      <c r="A130" s="19">
        <v>129</v>
      </c>
      <c r="B130" s="4">
        <v>2.379</v>
      </c>
      <c r="C130" s="4">
        <f t="shared" si="1"/>
        <v>1.7999999999999794E-2</v>
      </c>
      <c r="D130" s="20">
        <v>35</v>
      </c>
      <c r="E130" s="20">
        <v>150</v>
      </c>
    </row>
    <row r="131" spans="1:5" x14ac:dyDescent="0.3">
      <c r="A131" s="19">
        <v>130</v>
      </c>
      <c r="B131" s="4">
        <v>2.3969999999999998</v>
      </c>
      <c r="C131" s="4">
        <f t="shared" si="1"/>
        <v>1.7999999999999794E-2</v>
      </c>
      <c r="D131" s="20">
        <v>35</v>
      </c>
      <c r="E131" s="20">
        <v>150</v>
      </c>
    </row>
    <row r="132" spans="1:5" x14ac:dyDescent="0.3">
      <c r="A132" s="19">
        <v>131</v>
      </c>
      <c r="B132" s="4">
        <v>2.4140000000000001</v>
      </c>
      <c r="C132" s="4">
        <f t="shared" ref="C132:C141" si="2">B132-B131</f>
        <v>1.7000000000000348E-2</v>
      </c>
      <c r="D132" s="20">
        <v>35</v>
      </c>
      <c r="E132" s="20">
        <v>150</v>
      </c>
    </row>
    <row r="133" spans="1:5" x14ac:dyDescent="0.3">
      <c r="A133" s="19">
        <v>132</v>
      </c>
      <c r="B133" s="4">
        <v>2.4319999999999999</v>
      </c>
      <c r="C133" s="4">
        <f t="shared" si="2"/>
        <v>1.7999999999999794E-2</v>
      </c>
      <c r="D133" s="20">
        <v>40</v>
      </c>
      <c r="E133" s="20">
        <v>200</v>
      </c>
    </row>
    <row r="134" spans="1:5" x14ac:dyDescent="0.3">
      <c r="A134" s="19">
        <v>133</v>
      </c>
      <c r="B134" s="4">
        <v>2.4489999999999998</v>
      </c>
      <c r="C134" s="4">
        <f t="shared" si="2"/>
        <v>1.6999999999999904E-2</v>
      </c>
      <c r="D134" s="20">
        <v>40</v>
      </c>
      <c r="E134" s="20">
        <v>200</v>
      </c>
    </row>
    <row r="135" spans="1:5" x14ac:dyDescent="0.3">
      <c r="A135" s="19">
        <v>134</v>
      </c>
      <c r="B135" s="4">
        <v>2.4670000000000001</v>
      </c>
      <c r="C135" s="4">
        <f t="shared" si="2"/>
        <v>1.8000000000000238E-2</v>
      </c>
      <c r="D135" s="20">
        <v>40</v>
      </c>
      <c r="E135" s="20">
        <v>200</v>
      </c>
    </row>
    <row r="136" spans="1:5" x14ac:dyDescent="0.3">
      <c r="A136" s="19">
        <v>135</v>
      </c>
      <c r="B136" s="4">
        <v>2.4849999999999999</v>
      </c>
      <c r="C136" s="4">
        <f t="shared" si="2"/>
        <v>1.7999999999999794E-2</v>
      </c>
      <c r="D136" s="20">
        <v>40</v>
      </c>
      <c r="E136" s="20">
        <v>200</v>
      </c>
    </row>
    <row r="137" spans="1:5" x14ac:dyDescent="0.3">
      <c r="A137" s="19">
        <v>136</v>
      </c>
      <c r="B137" s="4">
        <v>2.5019999999999998</v>
      </c>
      <c r="C137" s="4">
        <f t="shared" si="2"/>
        <v>1.6999999999999904E-2</v>
      </c>
      <c r="D137" s="20">
        <v>40</v>
      </c>
      <c r="E137" s="20">
        <v>200</v>
      </c>
    </row>
    <row r="138" spans="1:5" x14ac:dyDescent="0.3">
      <c r="A138" s="19">
        <v>137</v>
      </c>
      <c r="B138" s="6">
        <v>2.52</v>
      </c>
      <c r="C138" s="4">
        <f t="shared" si="2"/>
        <v>1.8000000000000238E-2</v>
      </c>
      <c r="D138" s="20">
        <v>40</v>
      </c>
      <c r="E138" s="20">
        <v>200</v>
      </c>
    </row>
    <row r="139" spans="1:5" x14ac:dyDescent="0.3">
      <c r="A139" s="19">
        <v>138</v>
      </c>
      <c r="B139" s="4">
        <v>2.5369999999999999</v>
      </c>
      <c r="C139" s="4">
        <f t="shared" si="2"/>
        <v>1.6999999999999904E-2</v>
      </c>
      <c r="D139" s="20">
        <v>40</v>
      </c>
      <c r="E139" s="20">
        <v>200</v>
      </c>
    </row>
    <row r="140" spans="1:5" x14ac:dyDescent="0.3">
      <c r="A140" s="19">
        <v>139</v>
      </c>
      <c r="B140" s="4">
        <v>2.5550000000000002</v>
      </c>
      <c r="C140" s="4">
        <f t="shared" si="2"/>
        <v>1.8000000000000238E-2</v>
      </c>
      <c r="D140" s="20">
        <v>40</v>
      </c>
      <c r="E140" s="20">
        <v>200</v>
      </c>
    </row>
    <row r="141" spans="1:5" x14ac:dyDescent="0.3">
      <c r="A141" s="19">
        <v>140</v>
      </c>
      <c r="B141" s="4">
        <v>2.5720000000000001</v>
      </c>
      <c r="C141" s="4">
        <f t="shared" si="2"/>
        <v>1.6999999999999904E-2</v>
      </c>
      <c r="D141" s="20">
        <v>40</v>
      </c>
      <c r="E141" s="20">
        <v>200</v>
      </c>
    </row>
  </sheetData>
  <pageMargins left="0.75" right="0.75" top="1" bottom="1" header="0.5" footer="0.5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3F4D-019D-442A-A6FF-D8337BF39430}">
  <dimension ref="A1:X52"/>
  <sheetViews>
    <sheetView workbookViewId="0">
      <selection activeCell="G20" sqref="G20"/>
    </sheetView>
  </sheetViews>
  <sheetFormatPr defaultRowHeight="14.4" x14ac:dyDescent="0.3"/>
  <cols>
    <col min="1" max="1" width="20" style="20" customWidth="1"/>
    <col min="2" max="3" width="19" style="20" customWidth="1"/>
    <col min="4" max="4" width="13.77734375" style="20" customWidth="1"/>
    <col min="5" max="5" width="12" style="20" customWidth="1"/>
    <col min="6" max="6" width="20.77734375" style="20" customWidth="1"/>
    <col min="7" max="8" width="17.6640625" style="20" customWidth="1"/>
    <col min="9" max="9" width="25" style="20" customWidth="1"/>
    <col min="10" max="10" width="23.77734375" style="20" customWidth="1"/>
    <col min="11" max="11" width="17.6640625" style="20" customWidth="1"/>
    <col min="12" max="13" width="8.88671875" style="20"/>
    <col min="14" max="14" width="30.21875" style="20" customWidth="1"/>
    <col min="15" max="15" width="24.77734375" style="20" customWidth="1"/>
    <col min="16" max="16" width="17" style="20" bestFit="1" customWidth="1"/>
    <col min="17" max="22" width="8.88671875" style="20"/>
    <col min="23" max="24" width="17.77734375" style="20" customWidth="1"/>
    <col min="25" max="16384" width="8.88671875" style="20"/>
  </cols>
  <sheetData>
    <row r="1" spans="1:24" x14ac:dyDescent="0.3">
      <c r="A1" s="1" t="s">
        <v>0</v>
      </c>
      <c r="B1" s="3" t="s">
        <v>1</v>
      </c>
      <c r="C1" s="3" t="s">
        <v>65</v>
      </c>
      <c r="D1" s="3" t="s">
        <v>76</v>
      </c>
      <c r="E1" s="3" t="s">
        <v>55</v>
      </c>
      <c r="F1" s="3" t="s">
        <v>54</v>
      </c>
      <c r="G1" s="2" t="s">
        <v>77</v>
      </c>
      <c r="H1" s="2" t="s">
        <v>64</v>
      </c>
      <c r="I1" s="2" t="s">
        <v>78</v>
      </c>
      <c r="J1" s="2" t="s">
        <v>63</v>
      </c>
      <c r="K1" s="2"/>
      <c r="L1" s="3" t="s">
        <v>58</v>
      </c>
      <c r="M1" s="3" t="s">
        <v>59</v>
      </c>
      <c r="N1" s="3"/>
      <c r="O1" s="3"/>
      <c r="W1" s="20" t="s">
        <v>79</v>
      </c>
      <c r="X1" s="20" t="s">
        <v>75</v>
      </c>
    </row>
    <row r="2" spans="1:24" x14ac:dyDescent="0.3">
      <c r="A2" s="24" t="s">
        <v>2</v>
      </c>
      <c r="B2" s="4">
        <v>8.8000000000000005E-3</v>
      </c>
      <c r="C2" s="4">
        <f>B2</f>
        <v>8.8000000000000005E-3</v>
      </c>
      <c r="D2" s="21">
        <v>1</v>
      </c>
      <c r="E2" s="21">
        <v>5</v>
      </c>
      <c r="F2" s="4">
        <f ca="1">SUM(INDIRECT("C" &amp; L2 &amp; ":C" &amp; M2))</f>
        <v>0.14030000000000001</v>
      </c>
      <c r="G2" s="5">
        <f ca="1">SUM(INDIRECT("D" &amp; L2 &amp; ":D" &amp; M2))</f>
        <v>122</v>
      </c>
      <c r="H2" s="5">
        <f ca="1">SUM(INDIRECT("E" &amp; L2 &amp; ":E" &amp; M2))</f>
        <v>345</v>
      </c>
      <c r="I2" s="5">
        <f ca="1">G2/W2</f>
        <v>24.4</v>
      </c>
      <c r="J2" s="5">
        <f ca="1">H2/X2</f>
        <v>23</v>
      </c>
      <c r="K2" s="5"/>
      <c r="L2" s="20">
        <v>12</v>
      </c>
      <c r="M2" s="20">
        <v>27</v>
      </c>
      <c r="P2" s="24"/>
      <c r="W2" s="20">
        <v>5</v>
      </c>
      <c r="X2" s="20">
        <v>15</v>
      </c>
    </row>
    <row r="3" spans="1:24" x14ac:dyDescent="0.3">
      <c r="A3" s="24" t="s">
        <v>4</v>
      </c>
      <c r="B3" s="4">
        <v>1.7500000000000002E-2</v>
      </c>
      <c r="C3" s="4">
        <f>B3-B2</f>
        <v>8.7000000000000011E-3</v>
      </c>
      <c r="D3" s="21">
        <v>1</v>
      </c>
      <c r="E3" s="21">
        <v>5</v>
      </c>
      <c r="P3" s="24"/>
    </row>
    <row r="4" spans="1:24" x14ac:dyDescent="0.3">
      <c r="A4" s="24" t="s">
        <v>5</v>
      </c>
      <c r="B4" s="4">
        <v>2.63E-2</v>
      </c>
      <c r="C4" s="4">
        <f t="shared" ref="C4:C52" si="0">B4-B3</f>
        <v>8.7999999999999988E-3</v>
      </c>
      <c r="D4" s="21">
        <v>1</v>
      </c>
      <c r="E4" s="21">
        <v>5</v>
      </c>
      <c r="P4" s="24"/>
    </row>
    <row r="5" spans="1:24" x14ac:dyDescent="0.3">
      <c r="A5" s="24" t="s">
        <v>6</v>
      </c>
      <c r="B5" s="4">
        <v>3.5099999999999999E-2</v>
      </c>
      <c r="C5" s="4">
        <f t="shared" si="0"/>
        <v>8.7999999999999988E-3</v>
      </c>
      <c r="D5" s="21">
        <v>1</v>
      </c>
      <c r="E5" s="21">
        <v>5</v>
      </c>
      <c r="P5" s="24"/>
    </row>
    <row r="6" spans="1:24" x14ac:dyDescent="0.3">
      <c r="A6" s="24" t="s">
        <v>7</v>
      </c>
      <c r="B6" s="4">
        <v>4.3799999999999999E-2</v>
      </c>
      <c r="C6" s="4">
        <f t="shared" si="0"/>
        <v>8.6999999999999994E-3</v>
      </c>
      <c r="D6" s="21">
        <v>3</v>
      </c>
      <c r="E6" s="21">
        <v>10</v>
      </c>
      <c r="P6" s="24"/>
    </row>
    <row r="7" spans="1:24" x14ac:dyDescent="0.3">
      <c r="A7" s="24" t="s">
        <v>8</v>
      </c>
      <c r="B7" s="4">
        <v>5.2600000000000001E-2</v>
      </c>
      <c r="C7" s="4">
        <f t="shared" si="0"/>
        <v>8.8000000000000023E-3</v>
      </c>
      <c r="D7" s="21">
        <v>3</v>
      </c>
      <c r="E7" s="21">
        <v>10</v>
      </c>
      <c r="P7" s="24"/>
    </row>
    <row r="8" spans="1:24" x14ac:dyDescent="0.3">
      <c r="A8" s="24" t="s">
        <v>9</v>
      </c>
      <c r="B8" s="4">
        <v>6.1400000000000003E-2</v>
      </c>
      <c r="C8" s="4">
        <f t="shared" si="0"/>
        <v>8.8000000000000023E-3</v>
      </c>
      <c r="D8" s="21">
        <v>3</v>
      </c>
      <c r="E8" s="21">
        <v>10</v>
      </c>
      <c r="P8" s="24"/>
    </row>
    <row r="9" spans="1:24" x14ac:dyDescent="0.3">
      <c r="A9" s="24" t="s">
        <v>10</v>
      </c>
      <c r="B9" s="4">
        <v>7.0099999999999996E-2</v>
      </c>
      <c r="C9" s="4">
        <f t="shared" si="0"/>
        <v>8.6999999999999925E-3</v>
      </c>
      <c r="D9" s="21">
        <v>3</v>
      </c>
      <c r="E9" s="21">
        <v>10</v>
      </c>
      <c r="P9" s="24"/>
    </row>
    <row r="10" spans="1:24" x14ac:dyDescent="0.3">
      <c r="A10" s="24" t="s">
        <v>11</v>
      </c>
      <c r="B10" s="4">
        <v>7.8899999999999998E-2</v>
      </c>
      <c r="C10" s="4">
        <f t="shared" si="0"/>
        <v>8.8000000000000023E-3</v>
      </c>
      <c r="D10" s="21">
        <v>3</v>
      </c>
      <c r="E10" s="21">
        <v>10</v>
      </c>
      <c r="P10" s="24"/>
    </row>
    <row r="11" spans="1:24" x14ac:dyDescent="0.3">
      <c r="A11" s="24" t="s">
        <v>12</v>
      </c>
      <c r="B11" s="4">
        <v>8.77E-2</v>
      </c>
      <c r="C11" s="4">
        <f t="shared" si="0"/>
        <v>8.8000000000000023E-3</v>
      </c>
      <c r="D11" s="21">
        <v>5</v>
      </c>
      <c r="E11" s="21">
        <v>15</v>
      </c>
      <c r="P11" s="24"/>
    </row>
    <row r="12" spans="1:24" x14ac:dyDescent="0.3">
      <c r="A12" s="24" t="s">
        <v>13</v>
      </c>
      <c r="B12" s="4">
        <v>9.64E-2</v>
      </c>
      <c r="C12" s="4">
        <f t="shared" si="0"/>
        <v>8.6999999999999994E-3</v>
      </c>
      <c r="D12" s="21">
        <v>5</v>
      </c>
      <c r="E12" s="21">
        <v>15</v>
      </c>
      <c r="P12" s="24"/>
    </row>
    <row r="13" spans="1:24" x14ac:dyDescent="0.3">
      <c r="A13" s="24" t="s">
        <v>14</v>
      </c>
      <c r="B13" s="4">
        <v>0.1052</v>
      </c>
      <c r="C13" s="4">
        <f t="shared" si="0"/>
        <v>8.8000000000000023E-3</v>
      </c>
      <c r="D13" s="21">
        <v>5</v>
      </c>
      <c r="E13" s="21">
        <v>15</v>
      </c>
      <c r="P13" s="24"/>
    </row>
    <row r="14" spans="1:24" x14ac:dyDescent="0.3">
      <c r="A14" s="24" t="s">
        <v>15</v>
      </c>
      <c r="B14" s="4">
        <v>0.114</v>
      </c>
      <c r="C14" s="4">
        <f t="shared" si="0"/>
        <v>8.8000000000000023E-3</v>
      </c>
      <c r="D14" s="21">
        <v>5</v>
      </c>
      <c r="E14" s="21">
        <v>15</v>
      </c>
      <c r="P14" s="24"/>
    </row>
    <row r="15" spans="1:24" x14ac:dyDescent="0.3">
      <c r="A15" s="24" t="s">
        <v>16</v>
      </c>
      <c r="B15" s="4">
        <v>0.1227</v>
      </c>
      <c r="C15" s="4">
        <f t="shared" si="0"/>
        <v>8.6999999999999994E-3</v>
      </c>
      <c r="D15" s="21">
        <v>5</v>
      </c>
      <c r="E15" s="21">
        <v>15</v>
      </c>
      <c r="P15" s="24"/>
    </row>
    <row r="16" spans="1:24" x14ac:dyDescent="0.3">
      <c r="A16" s="24" t="s">
        <v>17</v>
      </c>
      <c r="B16" s="4">
        <v>0.13150000000000001</v>
      </c>
      <c r="C16" s="4">
        <f t="shared" si="0"/>
        <v>8.8000000000000023E-3</v>
      </c>
      <c r="D16" s="21">
        <v>7</v>
      </c>
      <c r="E16" s="21">
        <v>20</v>
      </c>
      <c r="P16" s="24"/>
    </row>
    <row r="17" spans="1:16" x14ac:dyDescent="0.3">
      <c r="A17" s="24" t="s">
        <v>18</v>
      </c>
      <c r="B17" s="4">
        <v>0.14030000000000001</v>
      </c>
      <c r="C17" s="4">
        <f t="shared" si="0"/>
        <v>8.8000000000000023E-3</v>
      </c>
      <c r="D17" s="21">
        <v>7</v>
      </c>
      <c r="E17" s="21">
        <v>20</v>
      </c>
      <c r="P17" s="24"/>
    </row>
    <row r="18" spans="1:16" x14ac:dyDescent="0.3">
      <c r="A18" s="24" t="s">
        <v>19</v>
      </c>
      <c r="B18" s="4">
        <v>0.14910000000000001</v>
      </c>
      <c r="C18" s="4">
        <f t="shared" si="0"/>
        <v>8.8000000000000023E-3</v>
      </c>
      <c r="D18" s="21">
        <v>7</v>
      </c>
      <c r="E18" s="21">
        <v>20</v>
      </c>
      <c r="P18" s="24"/>
    </row>
    <row r="19" spans="1:16" x14ac:dyDescent="0.3">
      <c r="A19" s="24" t="s">
        <v>20</v>
      </c>
      <c r="B19" s="4">
        <v>0.1578</v>
      </c>
      <c r="C19" s="4">
        <f t="shared" si="0"/>
        <v>8.6999999999999855E-3</v>
      </c>
      <c r="D19" s="21">
        <v>7</v>
      </c>
      <c r="E19" s="21">
        <v>20</v>
      </c>
      <c r="P19" s="24"/>
    </row>
    <row r="20" spans="1:16" x14ac:dyDescent="0.3">
      <c r="A20" s="24" t="s">
        <v>21</v>
      </c>
      <c r="B20" s="4">
        <v>0.1666</v>
      </c>
      <c r="C20" s="4">
        <f t="shared" si="0"/>
        <v>8.8000000000000023E-3</v>
      </c>
      <c r="D20" s="21">
        <v>7</v>
      </c>
      <c r="E20" s="21">
        <v>20</v>
      </c>
      <c r="P20" s="24"/>
    </row>
    <row r="21" spans="1:16" x14ac:dyDescent="0.3">
      <c r="A21" s="24" t="s">
        <v>22</v>
      </c>
      <c r="B21" s="4">
        <v>0.1754</v>
      </c>
      <c r="C21" s="4">
        <f t="shared" si="0"/>
        <v>8.8000000000000023E-3</v>
      </c>
      <c r="D21" s="21">
        <v>9</v>
      </c>
      <c r="E21" s="21">
        <v>25</v>
      </c>
      <c r="P21" s="24"/>
    </row>
    <row r="22" spans="1:16" x14ac:dyDescent="0.3">
      <c r="A22" s="24" t="s">
        <v>23</v>
      </c>
      <c r="B22" s="4">
        <v>0.18410000000000001</v>
      </c>
      <c r="C22" s="4">
        <f t="shared" si="0"/>
        <v>8.7000000000000133E-3</v>
      </c>
      <c r="D22" s="21">
        <v>9</v>
      </c>
      <c r="E22" s="21">
        <v>25</v>
      </c>
      <c r="P22" s="24"/>
    </row>
    <row r="23" spans="1:16" x14ac:dyDescent="0.3">
      <c r="A23" s="24" t="s">
        <v>24</v>
      </c>
      <c r="B23" s="4">
        <v>0.19289999999999999</v>
      </c>
      <c r="C23" s="4">
        <f t="shared" si="0"/>
        <v>8.7999999999999745E-3</v>
      </c>
      <c r="D23" s="21">
        <v>9</v>
      </c>
      <c r="E23" s="21">
        <v>25</v>
      </c>
      <c r="P23" s="24"/>
    </row>
    <row r="24" spans="1:16" x14ac:dyDescent="0.3">
      <c r="A24" s="24" t="s">
        <v>25</v>
      </c>
      <c r="B24" s="4">
        <v>0.20169999999999999</v>
      </c>
      <c r="C24" s="4">
        <f t="shared" si="0"/>
        <v>8.8000000000000023E-3</v>
      </c>
      <c r="D24" s="21">
        <v>9</v>
      </c>
      <c r="E24" s="21">
        <v>25</v>
      </c>
      <c r="P24" s="24"/>
    </row>
    <row r="25" spans="1:16" x14ac:dyDescent="0.3">
      <c r="A25" s="24" t="s">
        <v>26</v>
      </c>
      <c r="B25" s="4">
        <v>0.2104</v>
      </c>
      <c r="C25" s="4">
        <f t="shared" si="0"/>
        <v>8.7000000000000133E-3</v>
      </c>
      <c r="D25" s="21">
        <v>9</v>
      </c>
      <c r="E25" s="21">
        <v>25</v>
      </c>
      <c r="P25" s="24"/>
    </row>
    <row r="26" spans="1:16" x14ac:dyDescent="0.3">
      <c r="A26" s="24" t="s">
        <v>27</v>
      </c>
      <c r="B26" s="4">
        <v>0.21920000000000001</v>
      </c>
      <c r="C26" s="4">
        <f t="shared" si="0"/>
        <v>8.8000000000000023E-3</v>
      </c>
      <c r="D26" s="21">
        <v>11</v>
      </c>
      <c r="E26" s="21">
        <v>30</v>
      </c>
      <c r="P26" s="24"/>
    </row>
    <row r="27" spans="1:16" x14ac:dyDescent="0.3">
      <c r="A27" s="24" t="s">
        <v>28</v>
      </c>
      <c r="B27" s="4">
        <v>0.22800000000000001</v>
      </c>
      <c r="C27" s="4">
        <f t="shared" si="0"/>
        <v>8.8000000000000023E-3</v>
      </c>
      <c r="D27" s="21">
        <v>11</v>
      </c>
      <c r="E27" s="21">
        <v>30</v>
      </c>
      <c r="P27" s="24"/>
    </row>
    <row r="28" spans="1:16" x14ac:dyDescent="0.3">
      <c r="A28" s="24" t="s">
        <v>29</v>
      </c>
      <c r="B28" s="4">
        <v>0.23669999999999999</v>
      </c>
      <c r="C28" s="4">
        <f t="shared" si="0"/>
        <v>8.6999999999999855E-3</v>
      </c>
      <c r="D28" s="20">
        <v>11</v>
      </c>
      <c r="E28" s="20">
        <v>30</v>
      </c>
      <c r="P28" s="24"/>
    </row>
    <row r="29" spans="1:16" x14ac:dyDescent="0.3">
      <c r="A29" s="24" t="s">
        <v>30</v>
      </c>
      <c r="B29" s="4">
        <v>0.2455</v>
      </c>
      <c r="C29" s="4">
        <f t="shared" si="0"/>
        <v>8.8000000000000023E-3</v>
      </c>
      <c r="D29" s="20">
        <v>11</v>
      </c>
      <c r="E29" s="20">
        <v>30</v>
      </c>
      <c r="P29" s="24"/>
    </row>
    <row r="30" spans="1:16" x14ac:dyDescent="0.3">
      <c r="A30" s="24" t="s">
        <v>31</v>
      </c>
      <c r="B30" s="4">
        <v>0.25430000000000003</v>
      </c>
      <c r="C30" s="4">
        <f t="shared" si="0"/>
        <v>8.80000000000003E-3</v>
      </c>
      <c r="D30" s="20">
        <v>11</v>
      </c>
      <c r="E30" s="20">
        <v>30</v>
      </c>
      <c r="P30" s="24"/>
    </row>
    <row r="31" spans="1:16" x14ac:dyDescent="0.3">
      <c r="A31" s="24" t="s">
        <v>32</v>
      </c>
      <c r="B31" s="4">
        <v>0.26300000000000001</v>
      </c>
      <c r="C31" s="4">
        <f t="shared" si="0"/>
        <v>8.6999999999999855E-3</v>
      </c>
      <c r="D31" s="20">
        <v>13</v>
      </c>
      <c r="E31" s="20">
        <v>35</v>
      </c>
      <c r="P31" s="24"/>
    </row>
    <row r="32" spans="1:16" x14ac:dyDescent="0.3">
      <c r="A32" s="24" t="s">
        <v>33</v>
      </c>
      <c r="B32" s="4">
        <v>0.27179999999999999</v>
      </c>
      <c r="C32" s="4">
        <f t="shared" si="0"/>
        <v>8.7999999999999745E-3</v>
      </c>
      <c r="D32" s="20">
        <v>13</v>
      </c>
      <c r="E32" s="20">
        <v>35</v>
      </c>
      <c r="P32" s="24"/>
    </row>
    <row r="33" spans="1:16" x14ac:dyDescent="0.3">
      <c r="A33" s="24" t="s">
        <v>34</v>
      </c>
      <c r="B33" s="4">
        <v>0.28060000000000002</v>
      </c>
      <c r="C33" s="4">
        <f t="shared" si="0"/>
        <v>8.80000000000003E-3</v>
      </c>
      <c r="D33" s="21">
        <v>13</v>
      </c>
      <c r="E33" s="21">
        <v>35</v>
      </c>
      <c r="P33" s="24"/>
    </row>
    <row r="34" spans="1:16" x14ac:dyDescent="0.3">
      <c r="A34" s="24" t="s">
        <v>35</v>
      </c>
      <c r="B34" s="4">
        <v>0.2893</v>
      </c>
      <c r="C34" s="4">
        <f t="shared" si="0"/>
        <v>8.6999999999999855E-3</v>
      </c>
      <c r="D34" s="21">
        <v>13</v>
      </c>
      <c r="E34" s="21">
        <v>35</v>
      </c>
      <c r="P34" s="24"/>
    </row>
    <row r="35" spans="1:16" x14ac:dyDescent="0.3">
      <c r="A35" s="24" t="s">
        <v>36</v>
      </c>
      <c r="B35" s="4">
        <v>0.29809999999999998</v>
      </c>
      <c r="C35" s="4">
        <f t="shared" si="0"/>
        <v>8.7999999999999745E-3</v>
      </c>
      <c r="D35" s="21">
        <v>13</v>
      </c>
      <c r="E35" s="21">
        <v>35</v>
      </c>
      <c r="P35" s="24"/>
    </row>
    <row r="36" spans="1:16" x14ac:dyDescent="0.3">
      <c r="A36" s="24" t="s">
        <v>37</v>
      </c>
      <c r="B36" s="4">
        <v>0.30690000000000001</v>
      </c>
      <c r="C36" s="4">
        <f t="shared" si="0"/>
        <v>8.80000000000003E-3</v>
      </c>
      <c r="D36" s="21">
        <v>15</v>
      </c>
      <c r="E36" s="21">
        <v>40</v>
      </c>
      <c r="P36" s="24"/>
    </row>
    <row r="37" spans="1:16" x14ac:dyDescent="0.3">
      <c r="A37" s="24" t="s">
        <v>38</v>
      </c>
      <c r="B37" s="4">
        <v>0.31559999999999999</v>
      </c>
      <c r="C37" s="4">
        <f t="shared" si="0"/>
        <v>8.6999999999999855E-3</v>
      </c>
      <c r="D37" s="21">
        <v>15</v>
      </c>
      <c r="E37" s="21">
        <v>40</v>
      </c>
      <c r="P37" s="24"/>
    </row>
    <row r="38" spans="1:16" x14ac:dyDescent="0.3">
      <c r="A38" s="24" t="s">
        <v>39</v>
      </c>
      <c r="B38" s="4">
        <v>0.32440000000000002</v>
      </c>
      <c r="C38" s="4">
        <f t="shared" si="0"/>
        <v>8.80000000000003E-3</v>
      </c>
      <c r="D38" s="21">
        <v>15</v>
      </c>
      <c r="E38" s="21">
        <v>40</v>
      </c>
      <c r="P38" s="24"/>
    </row>
    <row r="39" spans="1:16" x14ac:dyDescent="0.3">
      <c r="A39" s="24" t="s">
        <v>40</v>
      </c>
      <c r="B39" s="4">
        <v>0.3332</v>
      </c>
      <c r="C39" s="4">
        <f t="shared" si="0"/>
        <v>8.7999999999999745E-3</v>
      </c>
      <c r="D39" s="21">
        <v>15</v>
      </c>
      <c r="E39" s="21">
        <v>40</v>
      </c>
      <c r="P39" s="24"/>
    </row>
    <row r="40" spans="1:16" x14ac:dyDescent="0.3">
      <c r="A40" s="24" t="s">
        <v>41</v>
      </c>
      <c r="B40" s="4">
        <v>0.34189999999999998</v>
      </c>
      <c r="C40" s="4">
        <f t="shared" si="0"/>
        <v>8.6999999999999855E-3</v>
      </c>
      <c r="D40" s="21">
        <v>15</v>
      </c>
      <c r="E40" s="21">
        <v>40</v>
      </c>
      <c r="P40" s="24"/>
    </row>
    <row r="41" spans="1:16" x14ac:dyDescent="0.3">
      <c r="A41" s="24" t="s">
        <v>42</v>
      </c>
      <c r="B41" s="4">
        <v>0.35070000000000001</v>
      </c>
      <c r="C41" s="4">
        <f t="shared" si="0"/>
        <v>8.80000000000003E-3</v>
      </c>
      <c r="D41" s="21">
        <v>17</v>
      </c>
      <c r="E41" s="21">
        <v>45</v>
      </c>
      <c r="P41" s="24"/>
    </row>
    <row r="42" spans="1:16" x14ac:dyDescent="0.3">
      <c r="A42" s="24" t="s">
        <v>43</v>
      </c>
      <c r="B42" s="4">
        <v>0.35949999999999999</v>
      </c>
      <c r="C42" s="4">
        <f t="shared" si="0"/>
        <v>8.7999999999999745E-3</v>
      </c>
      <c r="D42" s="21">
        <v>17</v>
      </c>
      <c r="E42" s="21">
        <v>45</v>
      </c>
      <c r="P42" s="24"/>
    </row>
    <row r="43" spans="1:16" x14ac:dyDescent="0.3">
      <c r="A43" s="24" t="s">
        <v>44</v>
      </c>
      <c r="B43" s="4">
        <v>0.36820000000000003</v>
      </c>
      <c r="C43" s="4">
        <f t="shared" si="0"/>
        <v>8.700000000000041E-3</v>
      </c>
      <c r="D43" s="21">
        <v>17</v>
      </c>
      <c r="E43" s="21">
        <v>45</v>
      </c>
      <c r="P43" s="24"/>
    </row>
    <row r="44" spans="1:16" x14ac:dyDescent="0.3">
      <c r="A44" s="24" t="s">
        <v>45</v>
      </c>
      <c r="B44" s="4">
        <v>0.377</v>
      </c>
      <c r="C44" s="4">
        <f t="shared" si="0"/>
        <v>8.7999999999999745E-3</v>
      </c>
      <c r="D44" s="21">
        <v>17</v>
      </c>
      <c r="E44" s="21">
        <v>45</v>
      </c>
      <c r="P44" s="24"/>
    </row>
    <row r="45" spans="1:16" x14ac:dyDescent="0.3">
      <c r="A45" s="24" t="s">
        <v>46</v>
      </c>
      <c r="B45" s="4">
        <v>0.38579999999999998</v>
      </c>
      <c r="C45" s="4">
        <f t="shared" si="0"/>
        <v>8.7999999999999745E-3</v>
      </c>
      <c r="D45" s="21">
        <v>17</v>
      </c>
      <c r="E45" s="21">
        <v>45</v>
      </c>
      <c r="P45" s="24"/>
    </row>
    <row r="46" spans="1:16" x14ac:dyDescent="0.3">
      <c r="A46" s="24" t="s">
        <v>47</v>
      </c>
      <c r="B46" s="4">
        <v>0.39460000000000001</v>
      </c>
      <c r="C46" s="4">
        <f t="shared" si="0"/>
        <v>8.80000000000003E-3</v>
      </c>
      <c r="D46" s="21">
        <v>19</v>
      </c>
      <c r="E46" s="21">
        <v>50</v>
      </c>
      <c r="P46" s="24"/>
    </row>
    <row r="47" spans="1:16" x14ac:dyDescent="0.3">
      <c r="A47" s="24" t="s">
        <v>48</v>
      </c>
      <c r="B47" s="4">
        <v>0.40329999999999999</v>
      </c>
      <c r="C47" s="4">
        <f t="shared" si="0"/>
        <v>8.6999999999999855E-3</v>
      </c>
      <c r="D47" s="21">
        <v>19</v>
      </c>
      <c r="E47" s="21">
        <v>50</v>
      </c>
      <c r="P47" s="24"/>
    </row>
    <row r="48" spans="1:16" x14ac:dyDescent="0.3">
      <c r="A48" s="24" t="s">
        <v>49</v>
      </c>
      <c r="B48" s="4">
        <v>0.41210000000000002</v>
      </c>
      <c r="C48" s="4">
        <f t="shared" si="0"/>
        <v>8.80000000000003E-3</v>
      </c>
      <c r="D48" s="21">
        <v>19</v>
      </c>
      <c r="E48" s="21">
        <v>50</v>
      </c>
      <c r="P48" s="24"/>
    </row>
    <row r="49" spans="1:16" x14ac:dyDescent="0.3">
      <c r="A49" s="24" t="s">
        <v>50</v>
      </c>
      <c r="B49" s="4">
        <v>0.4209</v>
      </c>
      <c r="C49" s="4">
        <f t="shared" si="0"/>
        <v>8.7999999999999745E-3</v>
      </c>
      <c r="D49" s="21">
        <v>19</v>
      </c>
      <c r="E49" s="21">
        <v>50</v>
      </c>
      <c r="P49" s="24"/>
    </row>
    <row r="50" spans="1:16" x14ac:dyDescent="0.3">
      <c r="A50" s="24" t="s">
        <v>51</v>
      </c>
      <c r="B50" s="4">
        <v>0.42959999999999998</v>
      </c>
      <c r="C50" s="4">
        <f t="shared" si="0"/>
        <v>8.6999999999999855E-3</v>
      </c>
      <c r="D50" s="21">
        <v>19</v>
      </c>
      <c r="E50" s="21">
        <v>50</v>
      </c>
      <c r="P50" s="24"/>
    </row>
    <row r="51" spans="1:16" x14ac:dyDescent="0.3">
      <c r="A51" s="24" t="s">
        <v>52</v>
      </c>
      <c r="B51" s="4">
        <v>0.43840000000000001</v>
      </c>
      <c r="C51" s="4">
        <f t="shared" si="0"/>
        <v>8.80000000000003E-3</v>
      </c>
      <c r="D51" s="21">
        <v>21</v>
      </c>
      <c r="E51" s="21">
        <v>55</v>
      </c>
      <c r="P51" s="24"/>
    </row>
    <row r="52" spans="1:16" x14ac:dyDescent="0.3">
      <c r="A52" s="24" t="s">
        <v>53</v>
      </c>
      <c r="B52" s="4">
        <v>0.44719999999999999</v>
      </c>
      <c r="C52" s="4">
        <f t="shared" si="0"/>
        <v>8.7999999999999745E-3</v>
      </c>
      <c r="D52" s="21">
        <v>21</v>
      </c>
      <c r="E52" s="21">
        <v>55</v>
      </c>
      <c r="P52" s="24"/>
    </row>
  </sheetData>
  <pageMargins left="0.75" right="0.75" top="1" bottom="1" header="0.5" footer="0.5"/>
  <pageSetup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4F0E-2EDB-4A44-A8DE-41C50EEDC5EF}">
  <dimension ref="A1:X52"/>
  <sheetViews>
    <sheetView workbookViewId="0">
      <selection activeCell="O37" sqref="O37"/>
    </sheetView>
  </sheetViews>
  <sheetFormatPr defaultRowHeight="14.4" x14ac:dyDescent="0.3"/>
  <cols>
    <col min="1" max="1" width="20" style="22" customWidth="1"/>
    <col min="2" max="3" width="19" style="22" customWidth="1"/>
    <col min="4" max="4" width="13.77734375" style="22" customWidth="1"/>
    <col min="5" max="5" width="12" style="22" customWidth="1"/>
    <col min="6" max="6" width="20.77734375" style="22" customWidth="1"/>
    <col min="7" max="8" width="17.6640625" style="22" customWidth="1"/>
    <col min="9" max="9" width="25" style="22" customWidth="1"/>
    <col min="10" max="10" width="23.77734375" style="22" customWidth="1"/>
    <col min="11" max="11" width="17.6640625" style="22" customWidth="1"/>
    <col min="12" max="13" width="8.88671875" style="22"/>
    <col min="14" max="14" width="30.21875" style="22" customWidth="1"/>
    <col min="15" max="15" width="24.77734375" style="22" customWidth="1"/>
    <col min="16" max="22" width="8.88671875" style="22"/>
    <col min="23" max="24" width="17.77734375" style="22" customWidth="1"/>
    <col min="25" max="16384" width="8.88671875" style="22"/>
  </cols>
  <sheetData>
    <row r="1" spans="1:24" x14ac:dyDescent="0.3">
      <c r="A1" s="23" t="s">
        <v>0</v>
      </c>
      <c r="B1" s="3" t="s">
        <v>1</v>
      </c>
      <c r="C1" s="3" t="s">
        <v>65</v>
      </c>
      <c r="D1" s="3" t="s">
        <v>76</v>
      </c>
      <c r="E1" s="3" t="s">
        <v>55</v>
      </c>
      <c r="F1" s="3" t="s">
        <v>54</v>
      </c>
      <c r="G1" s="2" t="s">
        <v>77</v>
      </c>
      <c r="H1" s="2" t="s">
        <v>64</v>
      </c>
      <c r="I1" s="2" t="s">
        <v>78</v>
      </c>
      <c r="J1" s="2" t="s">
        <v>63</v>
      </c>
      <c r="K1" s="2"/>
      <c r="L1" s="3" t="s">
        <v>58</v>
      </c>
      <c r="M1" s="3" t="s">
        <v>59</v>
      </c>
      <c r="N1" s="3"/>
      <c r="O1" s="3"/>
      <c r="W1" s="22" t="s">
        <v>79</v>
      </c>
      <c r="X1" s="22" t="s">
        <v>61</v>
      </c>
    </row>
    <row r="2" spans="1:24" x14ac:dyDescent="0.3">
      <c r="A2" s="24" t="s">
        <v>2</v>
      </c>
      <c r="B2" s="4">
        <v>9.5999999999999992E-3</v>
      </c>
      <c r="C2" s="4">
        <f>B2</f>
        <v>9.5999999999999992E-3</v>
      </c>
      <c r="D2" s="21">
        <v>1</v>
      </c>
      <c r="E2" s="21">
        <v>6</v>
      </c>
      <c r="F2" s="4">
        <f ca="1">SUM(INDIRECT("C" &amp; L2 &amp; ":C" &amp; M2))</f>
        <v>0.24109999999999998</v>
      </c>
      <c r="G2" s="5">
        <f ca="1">SUM(INDIRECT("D" &amp; L2 &amp; ":D" &amp; M2))</f>
        <v>474</v>
      </c>
      <c r="H2" s="5">
        <f ca="1">SUM(INDIRECT("E" &amp; L2 &amp; ":E" &amp; M2))</f>
        <v>1260</v>
      </c>
      <c r="I2" s="5">
        <f ca="1">G2/W2</f>
        <v>47.4</v>
      </c>
      <c r="J2" s="5">
        <f ca="1">H2/X2</f>
        <v>25.2</v>
      </c>
      <c r="K2" s="5"/>
      <c r="L2" s="22">
        <v>28</v>
      </c>
      <c r="M2" s="22">
        <v>52</v>
      </c>
      <c r="W2" s="22">
        <v>10</v>
      </c>
      <c r="X2" s="22">
        <v>50</v>
      </c>
    </row>
    <row r="3" spans="1:24" x14ac:dyDescent="0.3">
      <c r="A3" s="24" t="s">
        <v>4</v>
      </c>
      <c r="B3" s="4">
        <v>1.9300000000000001E-2</v>
      </c>
      <c r="C3" s="4">
        <f>B3-B2</f>
        <v>9.700000000000002E-3</v>
      </c>
      <c r="D3" s="21">
        <v>1</v>
      </c>
      <c r="E3" s="21">
        <v>6</v>
      </c>
    </row>
    <row r="4" spans="1:24" x14ac:dyDescent="0.3">
      <c r="A4" s="24" t="s">
        <v>5</v>
      </c>
      <c r="B4" s="4">
        <v>2.8899999999999999E-2</v>
      </c>
      <c r="C4" s="4">
        <f t="shared" ref="C4:C52" si="0">B4-B3</f>
        <v>9.5999999999999974E-3</v>
      </c>
      <c r="D4" s="21">
        <v>1</v>
      </c>
      <c r="E4" s="21">
        <v>6</v>
      </c>
    </row>
    <row r="5" spans="1:24" x14ac:dyDescent="0.3">
      <c r="A5" s="24" t="s">
        <v>6</v>
      </c>
      <c r="B5" s="4">
        <v>3.8600000000000002E-2</v>
      </c>
      <c r="C5" s="4">
        <f t="shared" si="0"/>
        <v>9.7000000000000038E-3</v>
      </c>
      <c r="D5" s="21">
        <v>1</v>
      </c>
      <c r="E5" s="21">
        <v>6</v>
      </c>
    </row>
    <row r="6" spans="1:24" x14ac:dyDescent="0.3">
      <c r="A6" s="24" t="s">
        <v>7</v>
      </c>
      <c r="B6" s="4">
        <v>4.82E-2</v>
      </c>
      <c r="C6" s="4">
        <f t="shared" si="0"/>
        <v>9.5999999999999974E-3</v>
      </c>
      <c r="D6" s="21">
        <v>4</v>
      </c>
      <c r="E6" s="21">
        <v>12</v>
      </c>
    </row>
    <row r="7" spans="1:24" x14ac:dyDescent="0.3">
      <c r="A7" s="24" t="s">
        <v>8</v>
      </c>
      <c r="B7" s="4">
        <v>5.79E-2</v>
      </c>
      <c r="C7" s="4">
        <f t="shared" si="0"/>
        <v>9.7000000000000003E-3</v>
      </c>
      <c r="D7" s="21">
        <v>4</v>
      </c>
      <c r="E7" s="21">
        <v>12</v>
      </c>
    </row>
    <row r="8" spans="1:24" x14ac:dyDescent="0.3">
      <c r="A8" s="24" t="s">
        <v>9</v>
      </c>
      <c r="B8" s="4">
        <v>6.7500000000000004E-2</v>
      </c>
      <c r="C8" s="4">
        <f t="shared" si="0"/>
        <v>9.6000000000000044E-3</v>
      </c>
      <c r="D8" s="21">
        <v>4</v>
      </c>
      <c r="E8" s="21">
        <v>12</v>
      </c>
    </row>
    <row r="9" spans="1:24" x14ac:dyDescent="0.3">
      <c r="A9" s="24" t="s">
        <v>10</v>
      </c>
      <c r="B9" s="4">
        <v>7.7200000000000005E-2</v>
      </c>
      <c r="C9" s="4">
        <f t="shared" si="0"/>
        <v>9.7000000000000003E-3</v>
      </c>
      <c r="D9" s="21">
        <v>4</v>
      </c>
      <c r="E9" s="21">
        <v>12</v>
      </c>
    </row>
    <row r="10" spans="1:24" x14ac:dyDescent="0.3">
      <c r="A10" s="24" t="s">
        <v>11</v>
      </c>
      <c r="B10" s="4">
        <v>8.6800000000000002E-2</v>
      </c>
      <c r="C10" s="4">
        <f t="shared" si="0"/>
        <v>9.5999999999999974E-3</v>
      </c>
      <c r="D10" s="21">
        <v>4</v>
      </c>
      <c r="E10" s="21">
        <v>12</v>
      </c>
    </row>
    <row r="11" spans="1:24" x14ac:dyDescent="0.3">
      <c r="A11" s="24" t="s">
        <v>12</v>
      </c>
      <c r="B11" s="4">
        <v>9.64E-2</v>
      </c>
      <c r="C11" s="4">
        <f t="shared" si="0"/>
        <v>9.5999999999999974E-3</v>
      </c>
      <c r="D11" s="21">
        <v>6</v>
      </c>
      <c r="E11" s="21">
        <v>18</v>
      </c>
    </row>
    <row r="12" spans="1:24" x14ac:dyDescent="0.3">
      <c r="A12" s="24" t="s">
        <v>13</v>
      </c>
      <c r="B12" s="4">
        <v>0.1061</v>
      </c>
      <c r="C12" s="4">
        <f t="shared" si="0"/>
        <v>9.7000000000000003E-3</v>
      </c>
      <c r="D12" s="21">
        <v>6</v>
      </c>
      <c r="E12" s="21">
        <v>18</v>
      </c>
    </row>
    <row r="13" spans="1:24" x14ac:dyDescent="0.3">
      <c r="A13" s="24" t="s">
        <v>14</v>
      </c>
      <c r="B13" s="4">
        <v>0.1157</v>
      </c>
      <c r="C13" s="4">
        <f t="shared" si="0"/>
        <v>9.5999999999999974E-3</v>
      </c>
      <c r="D13" s="21">
        <v>6</v>
      </c>
      <c r="E13" s="21">
        <v>18</v>
      </c>
    </row>
    <row r="14" spans="1:24" x14ac:dyDescent="0.3">
      <c r="A14" s="24" t="s">
        <v>15</v>
      </c>
      <c r="B14" s="4">
        <v>0.12540000000000001</v>
      </c>
      <c r="C14" s="4">
        <f t="shared" si="0"/>
        <v>9.7000000000000142E-3</v>
      </c>
      <c r="D14" s="21">
        <v>6</v>
      </c>
      <c r="E14" s="21">
        <v>18</v>
      </c>
    </row>
    <row r="15" spans="1:24" x14ac:dyDescent="0.3">
      <c r="A15" s="24" t="s">
        <v>16</v>
      </c>
      <c r="B15" s="4">
        <v>0.13500000000000001</v>
      </c>
      <c r="C15" s="4">
        <f t="shared" si="0"/>
        <v>9.5999999999999974E-3</v>
      </c>
      <c r="D15" s="21">
        <v>6</v>
      </c>
      <c r="E15" s="21">
        <v>18</v>
      </c>
    </row>
    <row r="16" spans="1:24" x14ac:dyDescent="0.3">
      <c r="A16" s="24" t="s">
        <v>17</v>
      </c>
      <c r="B16" s="4">
        <v>0.1447</v>
      </c>
      <c r="C16" s="4">
        <f t="shared" si="0"/>
        <v>9.6999999999999864E-3</v>
      </c>
      <c r="D16" s="21">
        <v>8</v>
      </c>
      <c r="E16" s="21">
        <v>24</v>
      </c>
    </row>
    <row r="17" spans="1:5" x14ac:dyDescent="0.3">
      <c r="A17" s="24" t="s">
        <v>18</v>
      </c>
      <c r="B17" s="4">
        <v>0.15429999999999999</v>
      </c>
      <c r="C17" s="4">
        <f t="shared" si="0"/>
        <v>9.5999999999999974E-3</v>
      </c>
      <c r="D17" s="21">
        <v>8</v>
      </c>
      <c r="E17" s="21">
        <v>24</v>
      </c>
    </row>
    <row r="18" spans="1:5" x14ac:dyDescent="0.3">
      <c r="A18" s="24" t="s">
        <v>19</v>
      </c>
      <c r="B18" s="4">
        <v>0.16400000000000001</v>
      </c>
      <c r="C18" s="4">
        <f t="shared" si="0"/>
        <v>9.7000000000000142E-3</v>
      </c>
      <c r="D18" s="21">
        <v>8</v>
      </c>
      <c r="E18" s="21">
        <v>24</v>
      </c>
    </row>
    <row r="19" spans="1:5" x14ac:dyDescent="0.3">
      <c r="A19" s="24" t="s">
        <v>20</v>
      </c>
      <c r="B19" s="4">
        <v>0.1736</v>
      </c>
      <c r="C19" s="4">
        <f t="shared" si="0"/>
        <v>9.5999999999999974E-3</v>
      </c>
      <c r="D19" s="21">
        <v>8</v>
      </c>
      <c r="E19" s="21">
        <v>24</v>
      </c>
    </row>
    <row r="20" spans="1:5" x14ac:dyDescent="0.3">
      <c r="A20" s="24" t="s">
        <v>21</v>
      </c>
      <c r="B20" s="4">
        <v>0.1832</v>
      </c>
      <c r="C20" s="4">
        <f t="shared" si="0"/>
        <v>9.5999999999999974E-3</v>
      </c>
      <c r="D20" s="21">
        <v>8</v>
      </c>
      <c r="E20" s="21">
        <v>24</v>
      </c>
    </row>
    <row r="21" spans="1:5" x14ac:dyDescent="0.3">
      <c r="A21" s="24" t="s">
        <v>22</v>
      </c>
      <c r="B21" s="4">
        <v>0.19289999999999999</v>
      </c>
      <c r="C21" s="4">
        <f t="shared" si="0"/>
        <v>9.6999999999999864E-3</v>
      </c>
      <c r="D21" s="21">
        <v>11</v>
      </c>
      <c r="E21" s="21">
        <v>30</v>
      </c>
    </row>
    <row r="22" spans="1:5" x14ac:dyDescent="0.3">
      <c r="A22" s="24" t="s">
        <v>23</v>
      </c>
      <c r="B22" s="4">
        <v>0.20250000000000001</v>
      </c>
      <c r="C22" s="4">
        <f t="shared" si="0"/>
        <v>9.6000000000000252E-3</v>
      </c>
      <c r="D22" s="21">
        <v>11</v>
      </c>
      <c r="E22" s="21">
        <v>30</v>
      </c>
    </row>
    <row r="23" spans="1:5" x14ac:dyDescent="0.3">
      <c r="A23" s="24" t="s">
        <v>24</v>
      </c>
      <c r="B23" s="4">
        <v>0.2122</v>
      </c>
      <c r="C23" s="4">
        <f t="shared" si="0"/>
        <v>9.6999999999999864E-3</v>
      </c>
      <c r="D23" s="21">
        <v>11</v>
      </c>
      <c r="E23" s="21">
        <v>30</v>
      </c>
    </row>
    <row r="24" spans="1:5" x14ac:dyDescent="0.3">
      <c r="A24" s="24" t="s">
        <v>25</v>
      </c>
      <c r="B24" s="4">
        <v>0.2218</v>
      </c>
      <c r="C24" s="4">
        <f t="shared" si="0"/>
        <v>9.5999999999999974E-3</v>
      </c>
      <c r="D24" s="21">
        <v>11</v>
      </c>
      <c r="E24" s="21">
        <v>30</v>
      </c>
    </row>
    <row r="25" spans="1:5" x14ac:dyDescent="0.3">
      <c r="A25" s="24" t="s">
        <v>26</v>
      </c>
      <c r="B25" s="4">
        <v>0.23150000000000001</v>
      </c>
      <c r="C25" s="4">
        <f t="shared" si="0"/>
        <v>9.7000000000000142E-3</v>
      </c>
      <c r="D25" s="21">
        <v>11</v>
      </c>
      <c r="E25" s="21">
        <v>30</v>
      </c>
    </row>
    <row r="26" spans="1:5" x14ac:dyDescent="0.3">
      <c r="A26" s="24" t="s">
        <v>27</v>
      </c>
      <c r="B26" s="4">
        <v>0.24110000000000001</v>
      </c>
      <c r="C26" s="4">
        <f t="shared" si="0"/>
        <v>9.5999999999999974E-3</v>
      </c>
      <c r="D26" s="21">
        <v>13</v>
      </c>
      <c r="E26" s="21">
        <v>36</v>
      </c>
    </row>
    <row r="27" spans="1:5" x14ac:dyDescent="0.3">
      <c r="A27" s="24" t="s">
        <v>28</v>
      </c>
      <c r="B27" s="4">
        <v>0.25080000000000002</v>
      </c>
      <c r="C27" s="4">
        <f t="shared" si="0"/>
        <v>9.7000000000000142E-3</v>
      </c>
      <c r="D27" s="21">
        <v>13</v>
      </c>
      <c r="E27" s="21">
        <v>36</v>
      </c>
    </row>
    <row r="28" spans="1:5" x14ac:dyDescent="0.3">
      <c r="A28" s="24" t="s">
        <v>29</v>
      </c>
      <c r="B28" s="4">
        <v>0.26040000000000002</v>
      </c>
      <c r="C28" s="4">
        <f t="shared" si="0"/>
        <v>9.5999999999999974E-3</v>
      </c>
      <c r="D28" s="22">
        <v>13</v>
      </c>
      <c r="E28" s="22">
        <v>36</v>
      </c>
    </row>
    <row r="29" spans="1:5" x14ac:dyDescent="0.3">
      <c r="A29" s="24" t="s">
        <v>30</v>
      </c>
      <c r="B29" s="4">
        <v>0.27</v>
      </c>
      <c r="C29" s="4">
        <f t="shared" si="0"/>
        <v>9.5999999999999974E-3</v>
      </c>
      <c r="D29" s="22">
        <v>13</v>
      </c>
      <c r="E29" s="22">
        <v>36</v>
      </c>
    </row>
    <row r="30" spans="1:5" x14ac:dyDescent="0.3">
      <c r="A30" s="24" t="s">
        <v>31</v>
      </c>
      <c r="B30" s="4">
        <v>0.2797</v>
      </c>
      <c r="C30" s="4">
        <f t="shared" si="0"/>
        <v>9.6999999999999864E-3</v>
      </c>
      <c r="D30" s="22">
        <v>13</v>
      </c>
      <c r="E30" s="22">
        <v>36</v>
      </c>
    </row>
    <row r="31" spans="1:5" x14ac:dyDescent="0.3">
      <c r="A31" s="24" t="s">
        <v>32</v>
      </c>
      <c r="B31" s="4">
        <v>0.2893</v>
      </c>
      <c r="C31" s="4">
        <f t="shared" si="0"/>
        <v>9.5999999999999974E-3</v>
      </c>
      <c r="D31" s="22">
        <v>16</v>
      </c>
      <c r="E31" s="22">
        <v>42</v>
      </c>
    </row>
    <row r="32" spans="1:5" x14ac:dyDescent="0.3">
      <c r="A32" s="24" t="s">
        <v>33</v>
      </c>
      <c r="B32" s="4">
        <v>0.29899999999999999</v>
      </c>
      <c r="C32" s="4">
        <f t="shared" si="0"/>
        <v>9.6999999999999864E-3</v>
      </c>
      <c r="D32" s="22">
        <v>16</v>
      </c>
      <c r="E32" s="22">
        <v>42</v>
      </c>
    </row>
    <row r="33" spans="1:5" x14ac:dyDescent="0.3">
      <c r="A33" s="24" t="s">
        <v>34</v>
      </c>
      <c r="B33" s="4">
        <v>0.30859999999999999</v>
      </c>
      <c r="C33" s="4">
        <f t="shared" si="0"/>
        <v>9.5999999999999974E-3</v>
      </c>
      <c r="D33" s="21">
        <v>16</v>
      </c>
      <c r="E33" s="21">
        <v>42</v>
      </c>
    </row>
    <row r="34" spans="1:5" x14ac:dyDescent="0.3">
      <c r="A34" s="24" t="s">
        <v>35</v>
      </c>
      <c r="B34" s="4">
        <v>0.31830000000000003</v>
      </c>
      <c r="C34" s="4">
        <f t="shared" si="0"/>
        <v>9.7000000000000419E-3</v>
      </c>
      <c r="D34" s="21">
        <v>16</v>
      </c>
      <c r="E34" s="21">
        <v>42</v>
      </c>
    </row>
    <row r="35" spans="1:5" x14ac:dyDescent="0.3">
      <c r="A35" s="24" t="s">
        <v>36</v>
      </c>
      <c r="B35" s="4">
        <v>0.32790000000000002</v>
      </c>
      <c r="C35" s="4">
        <f t="shared" si="0"/>
        <v>9.5999999999999974E-3</v>
      </c>
      <c r="D35" s="21">
        <v>16</v>
      </c>
      <c r="E35" s="21">
        <v>42</v>
      </c>
    </row>
    <row r="36" spans="1:5" x14ac:dyDescent="0.3">
      <c r="A36" s="24" t="s">
        <v>37</v>
      </c>
      <c r="B36" s="4">
        <v>0.33760000000000001</v>
      </c>
      <c r="C36" s="4">
        <f t="shared" si="0"/>
        <v>9.6999999999999864E-3</v>
      </c>
      <c r="D36" s="21">
        <v>18</v>
      </c>
      <c r="E36" s="21">
        <v>48</v>
      </c>
    </row>
    <row r="37" spans="1:5" x14ac:dyDescent="0.3">
      <c r="A37" s="24" t="s">
        <v>38</v>
      </c>
      <c r="B37" s="4">
        <v>0.34720000000000001</v>
      </c>
      <c r="C37" s="4">
        <f t="shared" si="0"/>
        <v>9.5999999999999974E-3</v>
      </c>
      <c r="D37" s="21">
        <v>18</v>
      </c>
      <c r="E37" s="21">
        <v>48</v>
      </c>
    </row>
    <row r="38" spans="1:5" x14ac:dyDescent="0.3">
      <c r="A38" s="24" t="s">
        <v>39</v>
      </c>
      <c r="B38" s="4">
        <v>0.3569</v>
      </c>
      <c r="C38" s="4">
        <f t="shared" si="0"/>
        <v>9.6999999999999864E-3</v>
      </c>
      <c r="D38" s="21">
        <v>18</v>
      </c>
      <c r="E38" s="21">
        <v>48</v>
      </c>
    </row>
    <row r="39" spans="1:5" x14ac:dyDescent="0.3">
      <c r="A39" s="24" t="s">
        <v>40</v>
      </c>
      <c r="B39" s="4">
        <v>0.36649999999999999</v>
      </c>
      <c r="C39" s="4">
        <f t="shared" si="0"/>
        <v>9.5999999999999974E-3</v>
      </c>
      <c r="D39" s="21">
        <v>18</v>
      </c>
      <c r="E39" s="21">
        <v>48</v>
      </c>
    </row>
    <row r="40" spans="1:5" x14ac:dyDescent="0.3">
      <c r="A40" s="24" t="s">
        <v>41</v>
      </c>
      <c r="B40" s="4">
        <v>0.37609999999999999</v>
      </c>
      <c r="C40" s="4">
        <f t="shared" si="0"/>
        <v>9.5999999999999974E-3</v>
      </c>
      <c r="D40" s="21">
        <v>18</v>
      </c>
      <c r="E40" s="21">
        <v>48</v>
      </c>
    </row>
    <row r="41" spans="1:5" x14ac:dyDescent="0.3">
      <c r="A41" s="24" t="s">
        <v>42</v>
      </c>
      <c r="B41" s="4">
        <v>0.38579999999999998</v>
      </c>
      <c r="C41" s="4">
        <f t="shared" si="0"/>
        <v>9.6999999999999864E-3</v>
      </c>
      <c r="D41" s="21">
        <v>20</v>
      </c>
      <c r="E41" s="21">
        <v>54</v>
      </c>
    </row>
    <row r="42" spans="1:5" x14ac:dyDescent="0.3">
      <c r="A42" s="24" t="s">
        <v>43</v>
      </c>
      <c r="B42" s="4">
        <v>0.39539999999999997</v>
      </c>
      <c r="C42" s="4">
        <f t="shared" si="0"/>
        <v>9.5999999999999974E-3</v>
      </c>
      <c r="D42" s="21">
        <v>20</v>
      </c>
      <c r="E42" s="21">
        <v>54</v>
      </c>
    </row>
    <row r="43" spans="1:5" x14ac:dyDescent="0.3">
      <c r="A43" s="24" t="s">
        <v>44</v>
      </c>
      <c r="B43" s="4">
        <v>0.40510000000000002</v>
      </c>
      <c r="C43" s="4">
        <f t="shared" si="0"/>
        <v>9.7000000000000419E-3</v>
      </c>
      <c r="D43" s="21">
        <v>20</v>
      </c>
      <c r="E43" s="21">
        <v>54</v>
      </c>
    </row>
    <row r="44" spans="1:5" x14ac:dyDescent="0.3">
      <c r="A44" s="24" t="s">
        <v>45</v>
      </c>
      <c r="B44" s="4">
        <v>0.41470000000000001</v>
      </c>
      <c r="C44" s="4">
        <f t="shared" si="0"/>
        <v>9.5999999999999974E-3</v>
      </c>
      <c r="D44" s="21">
        <v>20</v>
      </c>
      <c r="E44" s="21">
        <v>54</v>
      </c>
    </row>
    <row r="45" spans="1:5" x14ac:dyDescent="0.3">
      <c r="A45" s="24" t="s">
        <v>46</v>
      </c>
      <c r="B45" s="4">
        <v>0.4244</v>
      </c>
      <c r="C45" s="4">
        <f t="shared" si="0"/>
        <v>9.6999999999999864E-3</v>
      </c>
      <c r="D45" s="21">
        <v>20</v>
      </c>
      <c r="E45" s="21">
        <v>54</v>
      </c>
    </row>
    <row r="46" spans="1:5" x14ac:dyDescent="0.3">
      <c r="A46" s="24" t="s">
        <v>47</v>
      </c>
      <c r="B46" s="4">
        <v>0.434</v>
      </c>
      <c r="C46" s="4">
        <f t="shared" si="0"/>
        <v>9.5999999999999974E-3</v>
      </c>
      <c r="D46" s="21">
        <v>23</v>
      </c>
      <c r="E46" s="21">
        <v>60</v>
      </c>
    </row>
    <row r="47" spans="1:5" x14ac:dyDescent="0.3">
      <c r="A47" s="24" t="s">
        <v>48</v>
      </c>
      <c r="B47" s="4">
        <v>0.44369999999999998</v>
      </c>
      <c r="C47" s="4">
        <f t="shared" si="0"/>
        <v>9.6999999999999864E-3</v>
      </c>
      <c r="D47" s="21">
        <v>23</v>
      </c>
      <c r="E47" s="21">
        <v>60</v>
      </c>
    </row>
    <row r="48" spans="1:5" x14ac:dyDescent="0.3">
      <c r="A48" s="24" t="s">
        <v>49</v>
      </c>
      <c r="B48" s="4">
        <v>0.45329999999999998</v>
      </c>
      <c r="C48" s="4">
        <f t="shared" si="0"/>
        <v>9.5999999999999974E-3</v>
      </c>
      <c r="D48" s="21">
        <v>23</v>
      </c>
      <c r="E48" s="21">
        <v>60</v>
      </c>
    </row>
    <row r="49" spans="1:5" x14ac:dyDescent="0.3">
      <c r="A49" s="24" t="s">
        <v>50</v>
      </c>
      <c r="B49" s="4">
        <v>0.46289999999999998</v>
      </c>
      <c r="C49" s="4">
        <f t="shared" si="0"/>
        <v>9.5999999999999974E-3</v>
      </c>
      <c r="D49" s="21">
        <v>23</v>
      </c>
      <c r="E49" s="21">
        <v>60</v>
      </c>
    </row>
    <row r="50" spans="1:5" x14ac:dyDescent="0.3">
      <c r="A50" s="24" t="s">
        <v>51</v>
      </c>
      <c r="B50" s="4">
        <v>0.47260000000000002</v>
      </c>
      <c r="C50" s="4">
        <f t="shared" si="0"/>
        <v>9.7000000000000419E-3</v>
      </c>
      <c r="D50" s="21">
        <v>23</v>
      </c>
      <c r="E50" s="21">
        <v>60</v>
      </c>
    </row>
    <row r="51" spans="1:5" x14ac:dyDescent="0.3">
      <c r="A51" s="24" t="s">
        <v>52</v>
      </c>
      <c r="B51" s="4">
        <v>0.48220000000000002</v>
      </c>
      <c r="C51" s="4">
        <f t="shared" si="0"/>
        <v>9.5999999999999974E-3</v>
      </c>
      <c r="D51" s="21">
        <v>25</v>
      </c>
      <c r="E51" s="21">
        <v>66</v>
      </c>
    </row>
    <row r="52" spans="1:5" x14ac:dyDescent="0.3">
      <c r="A52" s="24" t="s">
        <v>53</v>
      </c>
      <c r="B52" s="4">
        <v>0.4919</v>
      </c>
      <c r="C52" s="4">
        <f t="shared" si="0"/>
        <v>9.6999999999999864E-3</v>
      </c>
      <c r="D52" s="21">
        <v>25</v>
      </c>
      <c r="E52" s="21">
        <v>66</v>
      </c>
    </row>
  </sheetData>
  <pageMargins left="0.75" right="0.75" top="1" bottom="1" header="0.5" footer="0.5"/>
  <pageSetup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E3CB-BDD5-4307-BDCD-D15771CC3EE1}">
  <dimension ref="A1:X53"/>
  <sheetViews>
    <sheetView workbookViewId="0">
      <selection activeCell="L45" sqref="L45"/>
    </sheetView>
  </sheetViews>
  <sheetFormatPr defaultRowHeight="14.4" x14ac:dyDescent="0.3"/>
  <cols>
    <col min="1" max="1" width="20" style="22" customWidth="1"/>
    <col min="2" max="3" width="19" style="22" customWidth="1"/>
    <col min="4" max="4" width="13.77734375" style="22" customWidth="1"/>
    <col min="5" max="5" width="12" style="22" customWidth="1"/>
    <col min="6" max="6" width="20.77734375" style="22" customWidth="1"/>
    <col min="7" max="8" width="17.6640625" style="22" customWidth="1"/>
    <col min="9" max="9" width="25" style="22" customWidth="1"/>
    <col min="10" max="10" width="23.77734375" style="22" customWidth="1"/>
    <col min="11" max="11" width="17.6640625" style="22" customWidth="1"/>
    <col min="12" max="13" width="8.88671875" style="22"/>
    <col min="14" max="14" width="30.21875" style="22" customWidth="1"/>
    <col min="15" max="15" width="24.77734375" style="22" customWidth="1"/>
    <col min="16" max="22" width="8.88671875" style="22"/>
    <col min="23" max="24" width="17.77734375" style="22" customWidth="1"/>
    <col min="25" max="16384" width="8.88671875" style="22"/>
  </cols>
  <sheetData>
    <row r="1" spans="1:24" x14ac:dyDescent="0.3">
      <c r="A1" s="23" t="s">
        <v>0</v>
      </c>
      <c r="B1" s="3" t="s">
        <v>1</v>
      </c>
      <c r="C1" s="3" t="s">
        <v>65</v>
      </c>
      <c r="D1" s="3" t="s">
        <v>76</v>
      </c>
      <c r="E1" s="3" t="s">
        <v>55</v>
      </c>
      <c r="F1" s="3" t="s">
        <v>54</v>
      </c>
      <c r="G1" s="2" t="s">
        <v>77</v>
      </c>
      <c r="H1" s="2" t="s">
        <v>64</v>
      </c>
      <c r="I1" s="2" t="s">
        <v>78</v>
      </c>
      <c r="J1" s="2" t="s">
        <v>63</v>
      </c>
      <c r="K1" s="2"/>
      <c r="L1" s="3" t="s">
        <v>58</v>
      </c>
      <c r="M1" s="3" t="s">
        <v>59</v>
      </c>
      <c r="N1" s="3"/>
      <c r="O1" s="3"/>
      <c r="W1" s="22" t="s">
        <v>79</v>
      </c>
      <c r="X1" s="22" t="s">
        <v>61</v>
      </c>
    </row>
    <row r="2" spans="1:24" x14ac:dyDescent="0.3">
      <c r="A2" s="24" t="s">
        <v>2</v>
      </c>
      <c r="B2" s="4">
        <v>1.06E-2</v>
      </c>
      <c r="C2" s="4">
        <f>B2</f>
        <v>1.06E-2</v>
      </c>
      <c r="D2" s="21">
        <v>1</v>
      </c>
      <c r="E2" s="21">
        <v>7</v>
      </c>
      <c r="F2" s="4">
        <f ca="1">SUM(INDIRECT("C" &amp; L2 &amp; ":C" &amp; M2))</f>
        <v>0.26530000000000004</v>
      </c>
      <c r="G2" s="5">
        <f ca="1">SUM(INDIRECT("D" &amp; L2 &amp; ":D" &amp; M2))</f>
        <v>573</v>
      </c>
      <c r="H2" s="5">
        <f ca="1">SUM(INDIRECT("E" &amp; L2 &amp; ":E" &amp; M2))</f>
        <v>1512</v>
      </c>
      <c r="I2" s="5">
        <f ca="1">G2/W2</f>
        <v>57.3</v>
      </c>
      <c r="J2" s="5">
        <f ca="1">H2/X2</f>
        <v>30.24</v>
      </c>
      <c r="K2" s="5"/>
      <c r="L2" s="22">
        <v>28</v>
      </c>
      <c r="M2" s="22">
        <v>52</v>
      </c>
      <c r="W2" s="22">
        <v>10</v>
      </c>
      <c r="X2" s="22">
        <v>50</v>
      </c>
    </row>
    <row r="3" spans="1:24" x14ac:dyDescent="0.3">
      <c r="A3" s="24" t="s">
        <v>4</v>
      </c>
      <c r="B3" s="4">
        <v>2.12E-2</v>
      </c>
      <c r="C3" s="4">
        <f>B3-B2</f>
        <v>1.06E-2</v>
      </c>
      <c r="D3" s="21">
        <v>1</v>
      </c>
      <c r="E3" s="21">
        <v>7</v>
      </c>
    </row>
    <row r="4" spans="1:24" x14ac:dyDescent="0.3">
      <c r="A4" s="24" t="s">
        <v>5</v>
      </c>
      <c r="B4" s="4">
        <v>3.1800000000000002E-2</v>
      </c>
      <c r="C4" s="4">
        <f t="shared" ref="C4:C52" si="0">B4-B3</f>
        <v>1.0600000000000002E-2</v>
      </c>
      <c r="D4" s="21">
        <v>1</v>
      </c>
      <c r="E4" s="21">
        <v>7</v>
      </c>
    </row>
    <row r="5" spans="1:24" x14ac:dyDescent="0.3">
      <c r="A5" s="24" t="s">
        <v>6</v>
      </c>
      <c r="B5" s="4">
        <v>4.24E-2</v>
      </c>
      <c r="C5" s="4">
        <f t="shared" si="0"/>
        <v>1.0599999999999998E-2</v>
      </c>
      <c r="D5" s="21">
        <v>1</v>
      </c>
      <c r="E5" s="21">
        <v>7</v>
      </c>
    </row>
    <row r="6" spans="1:24" x14ac:dyDescent="0.3">
      <c r="A6" s="24" t="s">
        <v>7</v>
      </c>
      <c r="B6" s="4">
        <v>5.2999999999999999E-2</v>
      </c>
      <c r="C6" s="4">
        <f t="shared" si="0"/>
        <v>1.0599999999999998E-2</v>
      </c>
      <c r="D6" s="21">
        <v>5</v>
      </c>
      <c r="E6" s="21">
        <v>14</v>
      </c>
    </row>
    <row r="7" spans="1:24" x14ac:dyDescent="0.3">
      <c r="A7" s="24" t="s">
        <v>8</v>
      </c>
      <c r="B7" s="4">
        <v>6.3700000000000007E-2</v>
      </c>
      <c r="C7" s="4">
        <f t="shared" si="0"/>
        <v>1.0700000000000008E-2</v>
      </c>
      <c r="D7" s="21">
        <v>5</v>
      </c>
      <c r="E7" s="21">
        <v>14</v>
      </c>
    </row>
    <row r="8" spans="1:24" x14ac:dyDescent="0.3">
      <c r="A8" s="24" t="s">
        <v>9</v>
      </c>
      <c r="B8" s="4">
        <v>7.4300000000000005E-2</v>
      </c>
      <c r="C8" s="4">
        <f t="shared" si="0"/>
        <v>1.0599999999999998E-2</v>
      </c>
      <c r="D8" s="21">
        <v>5</v>
      </c>
      <c r="E8" s="21">
        <v>14</v>
      </c>
    </row>
    <row r="9" spans="1:24" x14ac:dyDescent="0.3">
      <c r="A9" s="24" t="s">
        <v>10</v>
      </c>
      <c r="B9" s="4">
        <v>8.4900000000000003E-2</v>
      </c>
      <c r="C9" s="4">
        <f t="shared" si="0"/>
        <v>1.0599999999999998E-2</v>
      </c>
      <c r="D9" s="21">
        <v>5</v>
      </c>
      <c r="E9" s="21">
        <v>14</v>
      </c>
    </row>
    <row r="10" spans="1:24" x14ac:dyDescent="0.3">
      <c r="A10" s="24" t="s">
        <v>11</v>
      </c>
      <c r="B10" s="4">
        <v>9.5500000000000002E-2</v>
      </c>
      <c r="C10" s="4">
        <f t="shared" si="0"/>
        <v>1.0599999999999998E-2</v>
      </c>
      <c r="D10" s="21">
        <v>5</v>
      </c>
      <c r="E10" s="21">
        <v>14</v>
      </c>
    </row>
    <row r="11" spans="1:24" x14ac:dyDescent="0.3">
      <c r="A11" s="24" t="s">
        <v>12</v>
      </c>
      <c r="B11" s="4">
        <v>0.1061</v>
      </c>
      <c r="C11" s="4">
        <f t="shared" si="0"/>
        <v>1.0599999999999998E-2</v>
      </c>
      <c r="D11" s="21">
        <v>7</v>
      </c>
      <c r="E11" s="21">
        <v>22</v>
      </c>
    </row>
    <row r="12" spans="1:24" x14ac:dyDescent="0.3">
      <c r="A12" s="24" t="s">
        <v>13</v>
      </c>
      <c r="B12" s="4">
        <v>0.1167</v>
      </c>
      <c r="C12" s="4">
        <f t="shared" si="0"/>
        <v>1.0599999999999998E-2</v>
      </c>
      <c r="D12" s="21">
        <v>7</v>
      </c>
      <c r="E12" s="21">
        <v>22</v>
      </c>
    </row>
    <row r="13" spans="1:24" x14ac:dyDescent="0.3">
      <c r="A13" s="24" t="s">
        <v>14</v>
      </c>
      <c r="B13" s="4">
        <v>0.1273</v>
      </c>
      <c r="C13" s="4">
        <f t="shared" si="0"/>
        <v>1.0599999999999998E-2</v>
      </c>
      <c r="D13" s="21">
        <v>7</v>
      </c>
      <c r="E13" s="21">
        <v>22</v>
      </c>
    </row>
    <row r="14" spans="1:24" x14ac:dyDescent="0.3">
      <c r="A14" s="24" t="s">
        <v>15</v>
      </c>
      <c r="B14" s="4">
        <v>0.13789999999999999</v>
      </c>
      <c r="C14" s="4">
        <f t="shared" si="0"/>
        <v>1.0599999999999998E-2</v>
      </c>
      <c r="D14" s="21">
        <v>7</v>
      </c>
      <c r="E14" s="21">
        <v>22</v>
      </c>
    </row>
    <row r="15" spans="1:24" x14ac:dyDescent="0.3">
      <c r="A15" s="24" t="s">
        <v>16</v>
      </c>
      <c r="B15" s="4">
        <v>0.14849999999999999</v>
      </c>
      <c r="C15" s="4">
        <f t="shared" si="0"/>
        <v>1.0599999999999998E-2</v>
      </c>
      <c r="D15" s="21">
        <v>7</v>
      </c>
      <c r="E15" s="21">
        <v>22</v>
      </c>
    </row>
    <row r="16" spans="1:24" x14ac:dyDescent="0.3">
      <c r="A16" s="24" t="s">
        <v>17</v>
      </c>
      <c r="B16" s="4">
        <v>0.15909999999999999</v>
      </c>
      <c r="C16" s="4">
        <f t="shared" si="0"/>
        <v>1.0599999999999998E-2</v>
      </c>
      <c r="D16" s="21">
        <v>10</v>
      </c>
      <c r="E16" s="21">
        <v>29</v>
      </c>
    </row>
    <row r="17" spans="1:5" x14ac:dyDescent="0.3">
      <c r="A17" s="24" t="s">
        <v>18</v>
      </c>
      <c r="B17" s="4">
        <v>0.16969999999999999</v>
      </c>
      <c r="C17" s="4">
        <f t="shared" si="0"/>
        <v>1.0599999999999998E-2</v>
      </c>
      <c r="D17" s="21">
        <v>10</v>
      </c>
      <c r="E17" s="21">
        <v>29</v>
      </c>
    </row>
    <row r="18" spans="1:5" x14ac:dyDescent="0.3">
      <c r="A18" s="24" t="s">
        <v>19</v>
      </c>
      <c r="B18" s="4">
        <v>0.1804</v>
      </c>
      <c r="C18" s="4">
        <f t="shared" si="0"/>
        <v>1.0700000000000015E-2</v>
      </c>
      <c r="D18" s="21">
        <v>10</v>
      </c>
      <c r="E18" s="21">
        <v>29</v>
      </c>
    </row>
    <row r="19" spans="1:5" x14ac:dyDescent="0.3">
      <c r="A19" s="24" t="s">
        <v>20</v>
      </c>
      <c r="B19" s="4">
        <v>0.191</v>
      </c>
      <c r="C19" s="4">
        <f t="shared" si="0"/>
        <v>1.0599999999999998E-2</v>
      </c>
      <c r="D19" s="21">
        <v>10</v>
      </c>
      <c r="E19" s="21">
        <v>29</v>
      </c>
    </row>
    <row r="20" spans="1:5" x14ac:dyDescent="0.3">
      <c r="A20" s="24" t="s">
        <v>21</v>
      </c>
      <c r="B20" s="4">
        <v>0.2016</v>
      </c>
      <c r="C20" s="4">
        <f t="shared" si="0"/>
        <v>1.0599999999999998E-2</v>
      </c>
      <c r="D20" s="21">
        <v>10</v>
      </c>
      <c r="E20" s="21">
        <v>29</v>
      </c>
    </row>
    <row r="21" spans="1:5" x14ac:dyDescent="0.3">
      <c r="A21" s="24" t="s">
        <v>22</v>
      </c>
      <c r="B21" s="4">
        <v>0.2122</v>
      </c>
      <c r="C21" s="4">
        <f t="shared" si="0"/>
        <v>1.0599999999999998E-2</v>
      </c>
      <c r="D21" s="21">
        <v>13</v>
      </c>
      <c r="E21" s="21">
        <v>36</v>
      </c>
    </row>
    <row r="22" spans="1:5" x14ac:dyDescent="0.3">
      <c r="A22" s="24" t="s">
        <v>23</v>
      </c>
      <c r="B22" s="4">
        <v>0.2228</v>
      </c>
      <c r="C22" s="4">
        <f t="shared" si="0"/>
        <v>1.0599999999999998E-2</v>
      </c>
      <c r="D22" s="21">
        <v>13</v>
      </c>
      <c r="E22" s="21">
        <v>36</v>
      </c>
    </row>
    <row r="23" spans="1:5" x14ac:dyDescent="0.3">
      <c r="A23" s="24" t="s">
        <v>24</v>
      </c>
      <c r="B23" s="4">
        <v>0.2334</v>
      </c>
      <c r="C23" s="4">
        <f t="shared" si="0"/>
        <v>1.0599999999999998E-2</v>
      </c>
      <c r="D23" s="21">
        <v>13</v>
      </c>
      <c r="E23" s="21">
        <v>36</v>
      </c>
    </row>
    <row r="24" spans="1:5" x14ac:dyDescent="0.3">
      <c r="A24" s="24" t="s">
        <v>25</v>
      </c>
      <c r="B24" s="4">
        <v>0.24399999999999999</v>
      </c>
      <c r="C24" s="4">
        <f t="shared" si="0"/>
        <v>1.0599999999999998E-2</v>
      </c>
      <c r="D24" s="21">
        <v>13</v>
      </c>
      <c r="E24" s="21">
        <v>36</v>
      </c>
    </row>
    <row r="25" spans="1:5" x14ac:dyDescent="0.3">
      <c r="A25" s="24" t="s">
        <v>26</v>
      </c>
      <c r="B25" s="4">
        <v>0.25459999999999999</v>
      </c>
      <c r="C25" s="4">
        <f t="shared" si="0"/>
        <v>1.0599999999999998E-2</v>
      </c>
      <c r="D25" s="21">
        <v>13</v>
      </c>
      <c r="E25" s="21">
        <v>36</v>
      </c>
    </row>
    <row r="26" spans="1:5" x14ac:dyDescent="0.3">
      <c r="A26" s="24" t="s">
        <v>27</v>
      </c>
      <c r="B26" s="4">
        <v>0.26519999999999999</v>
      </c>
      <c r="C26" s="4">
        <f t="shared" si="0"/>
        <v>1.0599999999999998E-2</v>
      </c>
      <c r="D26" s="21">
        <v>16</v>
      </c>
      <c r="E26" s="21">
        <v>43</v>
      </c>
    </row>
    <row r="27" spans="1:5" x14ac:dyDescent="0.3">
      <c r="A27" s="24" t="s">
        <v>28</v>
      </c>
      <c r="B27" s="4">
        <v>0.27579999999999999</v>
      </c>
      <c r="C27" s="4">
        <f t="shared" si="0"/>
        <v>1.0599999999999998E-2</v>
      </c>
      <c r="D27" s="21">
        <v>16</v>
      </c>
      <c r="E27" s="21">
        <v>43</v>
      </c>
    </row>
    <row r="28" spans="1:5" x14ac:dyDescent="0.3">
      <c r="A28" s="24" t="s">
        <v>29</v>
      </c>
      <c r="B28" s="4">
        <v>0.28639999999999999</v>
      </c>
      <c r="C28" s="4">
        <f t="shared" si="0"/>
        <v>1.0599999999999998E-2</v>
      </c>
      <c r="D28" s="22">
        <v>16</v>
      </c>
      <c r="E28" s="22">
        <v>43</v>
      </c>
    </row>
    <row r="29" spans="1:5" x14ac:dyDescent="0.3">
      <c r="A29" s="24" t="s">
        <v>30</v>
      </c>
      <c r="B29" s="4">
        <v>0.29709999999999998</v>
      </c>
      <c r="C29" s="4">
        <f t="shared" si="0"/>
        <v>1.0699999999999987E-2</v>
      </c>
      <c r="D29" s="22">
        <v>16</v>
      </c>
      <c r="E29" s="22">
        <v>43</v>
      </c>
    </row>
    <row r="30" spans="1:5" x14ac:dyDescent="0.3">
      <c r="A30" s="24" t="s">
        <v>31</v>
      </c>
      <c r="B30" s="4">
        <v>0.30769999999999997</v>
      </c>
      <c r="C30" s="4">
        <f t="shared" si="0"/>
        <v>1.0599999999999998E-2</v>
      </c>
      <c r="D30" s="22">
        <v>16</v>
      </c>
      <c r="E30" s="22">
        <v>43</v>
      </c>
    </row>
    <row r="31" spans="1:5" x14ac:dyDescent="0.3">
      <c r="A31" s="24" t="s">
        <v>32</v>
      </c>
      <c r="B31" s="4">
        <v>0.31830000000000003</v>
      </c>
      <c r="C31" s="4">
        <f t="shared" si="0"/>
        <v>1.0600000000000054E-2</v>
      </c>
      <c r="D31" s="22">
        <v>19</v>
      </c>
      <c r="E31" s="22">
        <v>50</v>
      </c>
    </row>
    <row r="32" spans="1:5" x14ac:dyDescent="0.3">
      <c r="A32" s="24" t="s">
        <v>33</v>
      </c>
      <c r="B32" s="4">
        <v>0.32890000000000003</v>
      </c>
      <c r="C32" s="4">
        <f t="shared" si="0"/>
        <v>1.0599999999999998E-2</v>
      </c>
      <c r="D32" s="22">
        <v>19</v>
      </c>
      <c r="E32" s="22">
        <v>50</v>
      </c>
    </row>
    <row r="33" spans="1:5" x14ac:dyDescent="0.3">
      <c r="A33" s="24" t="s">
        <v>34</v>
      </c>
      <c r="B33" s="4">
        <v>0.33950000000000002</v>
      </c>
      <c r="C33" s="4">
        <f t="shared" si="0"/>
        <v>1.0599999999999998E-2</v>
      </c>
      <c r="D33" s="21">
        <v>19</v>
      </c>
      <c r="E33" s="21">
        <v>50</v>
      </c>
    </row>
    <row r="34" spans="1:5" x14ac:dyDescent="0.3">
      <c r="A34" s="24" t="s">
        <v>35</v>
      </c>
      <c r="B34" s="4">
        <v>0.35010000000000002</v>
      </c>
      <c r="C34" s="4">
        <f t="shared" si="0"/>
        <v>1.0599999999999998E-2</v>
      </c>
      <c r="D34" s="21">
        <v>19</v>
      </c>
      <c r="E34" s="21">
        <v>50</v>
      </c>
    </row>
    <row r="35" spans="1:5" x14ac:dyDescent="0.3">
      <c r="A35" s="24" t="s">
        <v>36</v>
      </c>
      <c r="B35" s="4">
        <v>0.36070000000000002</v>
      </c>
      <c r="C35" s="4">
        <f t="shared" si="0"/>
        <v>1.0599999999999998E-2</v>
      </c>
      <c r="D35" s="21">
        <v>19</v>
      </c>
      <c r="E35" s="21">
        <v>50</v>
      </c>
    </row>
    <row r="36" spans="1:5" x14ac:dyDescent="0.3">
      <c r="A36" s="24" t="s">
        <v>37</v>
      </c>
      <c r="B36" s="4">
        <v>0.37130000000000002</v>
      </c>
      <c r="C36" s="4">
        <f t="shared" si="0"/>
        <v>1.0599999999999998E-2</v>
      </c>
      <c r="D36" s="21">
        <v>22</v>
      </c>
      <c r="E36" s="21">
        <v>58</v>
      </c>
    </row>
    <row r="37" spans="1:5" x14ac:dyDescent="0.3">
      <c r="A37" s="24" t="s">
        <v>38</v>
      </c>
      <c r="B37" s="4">
        <v>0.38190000000000002</v>
      </c>
      <c r="C37" s="4">
        <f t="shared" si="0"/>
        <v>1.0599999999999998E-2</v>
      </c>
      <c r="D37" s="21">
        <v>22</v>
      </c>
      <c r="E37" s="21">
        <v>58</v>
      </c>
    </row>
    <row r="38" spans="1:5" x14ac:dyDescent="0.3">
      <c r="A38" s="24" t="s">
        <v>39</v>
      </c>
      <c r="B38" s="4">
        <v>0.39250000000000002</v>
      </c>
      <c r="C38" s="4">
        <f t="shared" si="0"/>
        <v>1.0599999999999998E-2</v>
      </c>
      <c r="D38" s="21">
        <v>22</v>
      </c>
      <c r="E38" s="21">
        <v>58</v>
      </c>
    </row>
    <row r="39" spans="1:5" x14ac:dyDescent="0.3">
      <c r="A39" s="24" t="s">
        <v>40</v>
      </c>
      <c r="B39" s="4">
        <v>0.40310000000000001</v>
      </c>
      <c r="C39" s="4">
        <f t="shared" si="0"/>
        <v>1.0599999999999998E-2</v>
      </c>
      <c r="D39" s="21">
        <v>22</v>
      </c>
      <c r="E39" s="21">
        <v>58</v>
      </c>
    </row>
    <row r="40" spans="1:5" x14ac:dyDescent="0.3">
      <c r="A40" s="24" t="s">
        <v>41</v>
      </c>
      <c r="B40" s="4">
        <v>0.4138</v>
      </c>
      <c r="C40" s="4">
        <f t="shared" si="0"/>
        <v>1.0699999999999987E-2</v>
      </c>
      <c r="D40" s="21">
        <v>22</v>
      </c>
      <c r="E40" s="21">
        <v>58</v>
      </c>
    </row>
    <row r="41" spans="1:5" x14ac:dyDescent="0.3">
      <c r="A41" s="24" t="s">
        <v>42</v>
      </c>
      <c r="B41" s="4">
        <v>0.4244</v>
      </c>
      <c r="C41" s="4">
        <f t="shared" si="0"/>
        <v>1.0599999999999998E-2</v>
      </c>
      <c r="D41" s="21">
        <v>24</v>
      </c>
      <c r="E41" s="21">
        <v>65</v>
      </c>
    </row>
    <row r="42" spans="1:5" x14ac:dyDescent="0.3">
      <c r="A42" s="24" t="s">
        <v>43</v>
      </c>
      <c r="B42" s="4">
        <v>0.435</v>
      </c>
      <c r="C42" s="4">
        <f t="shared" si="0"/>
        <v>1.0599999999999998E-2</v>
      </c>
      <c r="D42" s="21">
        <v>24</v>
      </c>
      <c r="E42" s="21">
        <v>65</v>
      </c>
    </row>
    <row r="43" spans="1:5" x14ac:dyDescent="0.3">
      <c r="A43" s="24" t="s">
        <v>44</v>
      </c>
      <c r="B43" s="4">
        <v>0.4456</v>
      </c>
      <c r="C43" s="4">
        <f t="shared" si="0"/>
        <v>1.0599999999999998E-2</v>
      </c>
      <c r="D43" s="21">
        <v>24</v>
      </c>
      <c r="E43" s="21">
        <v>65</v>
      </c>
    </row>
    <row r="44" spans="1:5" x14ac:dyDescent="0.3">
      <c r="A44" s="24" t="s">
        <v>45</v>
      </c>
      <c r="B44" s="4">
        <v>0.45619999999999999</v>
      </c>
      <c r="C44" s="4">
        <f t="shared" si="0"/>
        <v>1.0599999999999998E-2</v>
      </c>
      <c r="D44" s="21">
        <v>24</v>
      </c>
      <c r="E44" s="21">
        <v>65</v>
      </c>
    </row>
    <row r="45" spans="1:5" x14ac:dyDescent="0.3">
      <c r="A45" s="24" t="s">
        <v>46</v>
      </c>
      <c r="B45" s="4">
        <v>0.46679999999999999</v>
      </c>
      <c r="C45" s="4">
        <f t="shared" si="0"/>
        <v>1.0599999999999998E-2</v>
      </c>
      <c r="D45" s="21">
        <v>24</v>
      </c>
      <c r="E45" s="21">
        <v>65</v>
      </c>
    </row>
    <row r="46" spans="1:5" x14ac:dyDescent="0.3">
      <c r="A46" s="24" t="s">
        <v>47</v>
      </c>
      <c r="B46" s="4">
        <v>0.47739999999999999</v>
      </c>
      <c r="C46" s="4">
        <f t="shared" si="0"/>
        <v>1.0599999999999998E-2</v>
      </c>
      <c r="D46" s="21">
        <v>28</v>
      </c>
      <c r="E46" s="21">
        <v>72</v>
      </c>
    </row>
    <row r="47" spans="1:5" x14ac:dyDescent="0.3">
      <c r="A47" s="24" t="s">
        <v>48</v>
      </c>
      <c r="B47" s="4">
        <v>0.48799999999999999</v>
      </c>
      <c r="C47" s="4">
        <f t="shared" si="0"/>
        <v>1.0599999999999998E-2</v>
      </c>
      <c r="D47" s="21">
        <v>28</v>
      </c>
      <c r="E47" s="21">
        <v>72</v>
      </c>
    </row>
    <row r="48" spans="1:5" x14ac:dyDescent="0.3">
      <c r="A48" s="24" t="s">
        <v>49</v>
      </c>
      <c r="B48" s="4">
        <v>0.49859999999999999</v>
      </c>
      <c r="C48" s="4">
        <f t="shared" si="0"/>
        <v>1.0599999999999998E-2</v>
      </c>
      <c r="D48" s="21">
        <v>28</v>
      </c>
      <c r="E48" s="21">
        <v>72</v>
      </c>
    </row>
    <row r="49" spans="1:5" x14ac:dyDescent="0.3">
      <c r="A49" s="24" t="s">
        <v>50</v>
      </c>
      <c r="B49" s="4">
        <v>0.50919999999999999</v>
      </c>
      <c r="C49" s="4">
        <f t="shared" si="0"/>
        <v>1.0599999999999998E-2</v>
      </c>
      <c r="D49" s="21">
        <v>28</v>
      </c>
      <c r="E49" s="21">
        <v>72</v>
      </c>
    </row>
    <row r="50" spans="1:5" x14ac:dyDescent="0.3">
      <c r="A50" s="24" t="s">
        <v>51</v>
      </c>
      <c r="B50" s="4">
        <v>0.51980000000000004</v>
      </c>
      <c r="C50" s="4">
        <f t="shared" si="0"/>
        <v>1.0600000000000054E-2</v>
      </c>
      <c r="D50" s="21">
        <v>28</v>
      </c>
      <c r="E50" s="21">
        <v>72</v>
      </c>
    </row>
    <row r="51" spans="1:5" x14ac:dyDescent="0.3">
      <c r="A51" s="24" t="s">
        <v>52</v>
      </c>
      <c r="B51" s="4">
        <v>0.53049999999999997</v>
      </c>
      <c r="C51" s="4">
        <f t="shared" si="0"/>
        <v>1.0699999999999932E-2</v>
      </c>
      <c r="D51" s="21">
        <v>30</v>
      </c>
      <c r="E51" s="21">
        <v>79</v>
      </c>
    </row>
    <row r="52" spans="1:5" x14ac:dyDescent="0.3">
      <c r="A52" s="24" t="s">
        <v>53</v>
      </c>
      <c r="B52" s="4">
        <v>0.54110000000000003</v>
      </c>
      <c r="C52" s="4">
        <f t="shared" si="0"/>
        <v>1.0600000000000054E-2</v>
      </c>
      <c r="D52" s="21">
        <v>30</v>
      </c>
      <c r="E52" s="21">
        <v>79</v>
      </c>
    </row>
    <row r="53" spans="1:5" x14ac:dyDescent="0.3">
      <c r="C53" s="24"/>
    </row>
  </sheetData>
  <pageMargins left="0.75" right="0.75" top="1" bottom="1" header="0.5" footer="0.5"/>
  <pageSetup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A969-F105-4549-B68E-BEE22865D836}">
  <dimension ref="A1:X52"/>
  <sheetViews>
    <sheetView workbookViewId="0">
      <selection activeCell="N34" sqref="N34"/>
    </sheetView>
  </sheetViews>
  <sheetFormatPr defaultRowHeight="14.4" x14ac:dyDescent="0.3"/>
  <cols>
    <col min="1" max="1" width="20" style="22" customWidth="1"/>
    <col min="2" max="3" width="19" style="22" customWidth="1"/>
    <col min="4" max="4" width="13.77734375" style="22" customWidth="1"/>
    <col min="5" max="5" width="12" style="22" customWidth="1"/>
    <col min="6" max="6" width="20.77734375" style="22" customWidth="1"/>
    <col min="7" max="8" width="17.6640625" style="22" customWidth="1"/>
    <col min="9" max="9" width="25" style="22" customWidth="1"/>
    <col min="10" max="10" width="23.77734375" style="22" customWidth="1"/>
    <col min="11" max="11" width="17.6640625" style="22" customWidth="1"/>
    <col min="12" max="13" width="8.88671875" style="22"/>
    <col min="14" max="14" width="30.21875" style="22" customWidth="1"/>
    <col min="15" max="15" width="24.77734375" style="22" customWidth="1"/>
    <col min="16" max="22" width="8.88671875" style="22"/>
    <col min="23" max="24" width="17.77734375" style="22" customWidth="1"/>
    <col min="25" max="16384" width="8.88671875" style="22"/>
  </cols>
  <sheetData>
    <row r="1" spans="1:24" x14ac:dyDescent="0.3">
      <c r="A1" s="23" t="s">
        <v>0</v>
      </c>
      <c r="B1" s="3" t="s">
        <v>1</v>
      </c>
      <c r="C1" s="3" t="s">
        <v>65</v>
      </c>
      <c r="D1" s="3" t="s">
        <v>76</v>
      </c>
      <c r="E1" s="3" t="s">
        <v>55</v>
      </c>
      <c r="F1" s="3" t="s">
        <v>54</v>
      </c>
      <c r="G1" s="2" t="s">
        <v>77</v>
      </c>
      <c r="H1" s="2" t="s">
        <v>64</v>
      </c>
      <c r="I1" s="2" t="s">
        <v>78</v>
      </c>
      <c r="J1" s="2" t="s">
        <v>63</v>
      </c>
      <c r="K1" s="2"/>
      <c r="L1" s="3" t="s">
        <v>58</v>
      </c>
      <c r="M1" s="3" t="s">
        <v>59</v>
      </c>
      <c r="N1" s="3"/>
      <c r="O1" s="3"/>
      <c r="W1" s="22" t="s">
        <v>79</v>
      </c>
      <c r="X1" s="22" t="s">
        <v>61</v>
      </c>
    </row>
    <row r="2" spans="1:24" x14ac:dyDescent="0.3">
      <c r="A2" s="24" t="s">
        <v>2</v>
      </c>
      <c r="B2" s="4">
        <v>1.38E-2</v>
      </c>
      <c r="C2" s="4">
        <f>B2</f>
        <v>1.38E-2</v>
      </c>
      <c r="D2" s="21">
        <v>2</v>
      </c>
      <c r="E2" s="21">
        <v>11</v>
      </c>
      <c r="F2" s="4">
        <f ca="1">SUM(INDIRECT("C" &amp; L2 &amp; ":C" &amp; M2))</f>
        <v>0.34480000000000005</v>
      </c>
      <c r="G2" s="5">
        <f ca="1">SUM(INDIRECT("D" &amp; L2 &amp; ":D" &amp; M2))</f>
        <v>862</v>
      </c>
      <c r="H2" s="5">
        <f ca="1">SUM(INDIRECT("E" &amp; L2 &amp; ":E" &amp; M2))</f>
        <v>2273</v>
      </c>
      <c r="I2" s="5">
        <f ca="1">G2/W2</f>
        <v>86.2</v>
      </c>
      <c r="J2" s="5">
        <f ca="1">H2/X2</f>
        <v>45.46</v>
      </c>
      <c r="K2" s="5"/>
      <c r="L2" s="22">
        <v>28</v>
      </c>
      <c r="M2" s="22">
        <v>52</v>
      </c>
      <c r="W2" s="22">
        <v>10</v>
      </c>
      <c r="X2" s="22">
        <v>50</v>
      </c>
    </row>
    <row r="3" spans="1:24" x14ac:dyDescent="0.3">
      <c r="A3" s="24" t="s">
        <v>4</v>
      </c>
      <c r="B3" s="4">
        <v>2.76E-2</v>
      </c>
      <c r="C3" s="4">
        <f>B3-B2</f>
        <v>1.38E-2</v>
      </c>
      <c r="D3" s="21">
        <v>2</v>
      </c>
      <c r="E3" s="21">
        <v>11</v>
      </c>
    </row>
    <row r="4" spans="1:24" x14ac:dyDescent="0.3">
      <c r="A4" s="24" t="s">
        <v>5</v>
      </c>
      <c r="B4" s="4">
        <v>4.1399999999999999E-2</v>
      </c>
      <c r="C4" s="4">
        <f t="shared" ref="C4:C52" si="0">B4-B3</f>
        <v>1.38E-2</v>
      </c>
      <c r="D4" s="21">
        <v>2</v>
      </c>
      <c r="E4" s="21">
        <v>11</v>
      </c>
    </row>
    <row r="5" spans="1:24" x14ac:dyDescent="0.3">
      <c r="A5" s="24" t="s">
        <v>6</v>
      </c>
      <c r="B5" s="4">
        <v>5.5199999999999999E-2</v>
      </c>
      <c r="C5" s="4">
        <f t="shared" si="0"/>
        <v>1.38E-2</v>
      </c>
      <c r="D5" s="21">
        <v>2</v>
      </c>
      <c r="E5" s="21">
        <v>11</v>
      </c>
    </row>
    <row r="6" spans="1:24" x14ac:dyDescent="0.3">
      <c r="A6" s="24" t="s">
        <v>7</v>
      </c>
      <c r="B6" s="4">
        <v>6.9000000000000006E-2</v>
      </c>
      <c r="C6" s="4">
        <f t="shared" si="0"/>
        <v>1.3800000000000007E-2</v>
      </c>
      <c r="D6" s="21">
        <v>8</v>
      </c>
      <c r="E6" s="21">
        <v>21</v>
      </c>
    </row>
    <row r="7" spans="1:24" x14ac:dyDescent="0.3">
      <c r="A7" s="24" t="s">
        <v>8</v>
      </c>
      <c r="B7" s="4">
        <v>8.2799999999999999E-2</v>
      </c>
      <c r="C7" s="4">
        <f t="shared" si="0"/>
        <v>1.3799999999999993E-2</v>
      </c>
      <c r="D7" s="21">
        <v>8</v>
      </c>
      <c r="E7" s="21">
        <v>21</v>
      </c>
    </row>
    <row r="8" spans="1:24" x14ac:dyDescent="0.3">
      <c r="A8" s="24" t="s">
        <v>9</v>
      </c>
      <c r="B8" s="4">
        <v>9.6500000000000002E-2</v>
      </c>
      <c r="C8" s="4">
        <f t="shared" si="0"/>
        <v>1.3700000000000004E-2</v>
      </c>
      <c r="D8" s="21">
        <v>8</v>
      </c>
      <c r="E8" s="21">
        <v>21</v>
      </c>
    </row>
    <row r="9" spans="1:24" x14ac:dyDescent="0.3">
      <c r="A9" s="24" t="s">
        <v>10</v>
      </c>
      <c r="B9" s="4">
        <v>0.1103</v>
      </c>
      <c r="C9" s="4">
        <f t="shared" si="0"/>
        <v>1.3799999999999993E-2</v>
      </c>
      <c r="D9" s="21">
        <v>8</v>
      </c>
      <c r="E9" s="21">
        <v>21</v>
      </c>
    </row>
    <row r="10" spans="1:24" x14ac:dyDescent="0.3">
      <c r="A10" s="24" t="s">
        <v>11</v>
      </c>
      <c r="B10" s="4">
        <v>0.1241</v>
      </c>
      <c r="C10" s="4">
        <f t="shared" si="0"/>
        <v>1.3800000000000007E-2</v>
      </c>
      <c r="D10" s="21">
        <v>8</v>
      </c>
      <c r="E10" s="21">
        <v>21</v>
      </c>
    </row>
    <row r="11" spans="1:24" x14ac:dyDescent="0.3">
      <c r="A11" s="24" t="s">
        <v>12</v>
      </c>
      <c r="B11" s="4">
        <v>0.13789999999999999</v>
      </c>
      <c r="C11" s="4">
        <f t="shared" si="0"/>
        <v>1.3799999999999993E-2</v>
      </c>
      <c r="D11" s="21">
        <v>11</v>
      </c>
      <c r="E11" s="21">
        <v>33</v>
      </c>
    </row>
    <row r="12" spans="1:24" x14ac:dyDescent="0.3">
      <c r="A12" s="24" t="s">
        <v>13</v>
      </c>
      <c r="B12" s="4">
        <v>0.1517</v>
      </c>
      <c r="C12" s="4">
        <f t="shared" si="0"/>
        <v>1.3800000000000007E-2</v>
      </c>
      <c r="D12" s="21">
        <v>11</v>
      </c>
      <c r="E12" s="21">
        <v>33</v>
      </c>
    </row>
    <row r="13" spans="1:24" x14ac:dyDescent="0.3">
      <c r="A13" s="24" t="s">
        <v>14</v>
      </c>
      <c r="B13" s="4">
        <v>0.16550000000000001</v>
      </c>
      <c r="C13" s="4">
        <f t="shared" si="0"/>
        <v>1.3800000000000007E-2</v>
      </c>
      <c r="D13" s="21">
        <v>11</v>
      </c>
      <c r="E13" s="21">
        <v>33</v>
      </c>
    </row>
    <row r="14" spans="1:24" x14ac:dyDescent="0.3">
      <c r="A14" s="24" t="s">
        <v>15</v>
      </c>
      <c r="B14" s="4">
        <v>0.17929999999999999</v>
      </c>
      <c r="C14" s="4">
        <f t="shared" si="0"/>
        <v>1.3799999999999979E-2</v>
      </c>
      <c r="D14" s="21">
        <v>11</v>
      </c>
      <c r="E14" s="21">
        <v>33</v>
      </c>
    </row>
    <row r="15" spans="1:24" x14ac:dyDescent="0.3">
      <c r="A15" s="24" t="s">
        <v>16</v>
      </c>
      <c r="B15" s="4">
        <v>0.19309999999999999</v>
      </c>
      <c r="C15" s="4">
        <f t="shared" si="0"/>
        <v>1.3800000000000007E-2</v>
      </c>
      <c r="D15" s="21">
        <v>11</v>
      </c>
      <c r="E15" s="21">
        <v>33</v>
      </c>
    </row>
    <row r="16" spans="1:24" x14ac:dyDescent="0.3">
      <c r="A16" s="24" t="s">
        <v>17</v>
      </c>
      <c r="B16" s="4">
        <v>0.2069</v>
      </c>
      <c r="C16" s="4">
        <f t="shared" si="0"/>
        <v>1.3800000000000007E-2</v>
      </c>
      <c r="D16" s="21">
        <v>15</v>
      </c>
      <c r="E16" s="21">
        <v>44</v>
      </c>
    </row>
    <row r="17" spans="1:5" x14ac:dyDescent="0.3">
      <c r="A17" s="24" t="s">
        <v>18</v>
      </c>
      <c r="B17" s="4">
        <v>0.22070000000000001</v>
      </c>
      <c r="C17" s="4">
        <f t="shared" si="0"/>
        <v>1.3800000000000007E-2</v>
      </c>
      <c r="D17" s="21">
        <v>15</v>
      </c>
      <c r="E17" s="21">
        <v>44</v>
      </c>
    </row>
    <row r="18" spans="1:5" x14ac:dyDescent="0.3">
      <c r="A18" s="24" t="s">
        <v>19</v>
      </c>
      <c r="B18" s="4">
        <v>0.23449999999999999</v>
      </c>
      <c r="C18" s="4">
        <f t="shared" si="0"/>
        <v>1.3799999999999979E-2</v>
      </c>
      <c r="D18" s="21">
        <v>15</v>
      </c>
      <c r="E18" s="21">
        <v>44</v>
      </c>
    </row>
    <row r="19" spans="1:5" x14ac:dyDescent="0.3">
      <c r="A19" s="24" t="s">
        <v>20</v>
      </c>
      <c r="B19" s="4">
        <v>0.24829999999999999</v>
      </c>
      <c r="C19" s="4">
        <f t="shared" si="0"/>
        <v>1.3800000000000007E-2</v>
      </c>
      <c r="D19" s="21">
        <v>15</v>
      </c>
      <c r="E19" s="21">
        <v>44</v>
      </c>
    </row>
    <row r="20" spans="1:5" x14ac:dyDescent="0.3">
      <c r="A20" s="24" t="s">
        <v>21</v>
      </c>
      <c r="B20" s="4">
        <v>0.26200000000000001</v>
      </c>
      <c r="C20" s="4">
        <f t="shared" si="0"/>
        <v>1.3700000000000018E-2</v>
      </c>
      <c r="D20" s="21">
        <v>15</v>
      </c>
      <c r="E20" s="21">
        <v>44</v>
      </c>
    </row>
    <row r="21" spans="1:5" x14ac:dyDescent="0.3">
      <c r="A21" s="24" t="s">
        <v>22</v>
      </c>
      <c r="B21" s="4">
        <v>0.27579999999999999</v>
      </c>
      <c r="C21" s="4">
        <f t="shared" si="0"/>
        <v>1.3799999999999979E-2</v>
      </c>
      <c r="D21" s="21">
        <v>20</v>
      </c>
      <c r="E21" s="21">
        <v>54</v>
      </c>
    </row>
    <row r="22" spans="1:5" x14ac:dyDescent="0.3">
      <c r="A22" s="24" t="s">
        <v>23</v>
      </c>
      <c r="B22" s="4">
        <v>0.28960000000000002</v>
      </c>
      <c r="C22" s="4">
        <f t="shared" si="0"/>
        <v>1.3800000000000034E-2</v>
      </c>
      <c r="D22" s="21">
        <v>20</v>
      </c>
      <c r="E22" s="21">
        <v>54</v>
      </c>
    </row>
    <row r="23" spans="1:5" x14ac:dyDescent="0.3">
      <c r="A23" s="24" t="s">
        <v>24</v>
      </c>
      <c r="B23" s="4">
        <v>0.3034</v>
      </c>
      <c r="C23" s="4">
        <f t="shared" si="0"/>
        <v>1.3799999999999979E-2</v>
      </c>
      <c r="D23" s="21">
        <v>20</v>
      </c>
      <c r="E23" s="21">
        <v>54</v>
      </c>
    </row>
    <row r="24" spans="1:5" x14ac:dyDescent="0.3">
      <c r="A24" s="24" t="s">
        <v>25</v>
      </c>
      <c r="B24" s="4">
        <v>0.31719999999999998</v>
      </c>
      <c r="C24" s="4">
        <f t="shared" si="0"/>
        <v>1.3799999999999979E-2</v>
      </c>
      <c r="D24" s="21">
        <v>20</v>
      </c>
      <c r="E24" s="21">
        <v>54</v>
      </c>
    </row>
    <row r="25" spans="1:5" x14ac:dyDescent="0.3">
      <c r="A25" s="24" t="s">
        <v>26</v>
      </c>
      <c r="B25" s="4">
        <v>0.33100000000000002</v>
      </c>
      <c r="C25" s="4">
        <f t="shared" si="0"/>
        <v>1.3800000000000034E-2</v>
      </c>
      <c r="D25" s="21">
        <v>20</v>
      </c>
      <c r="E25" s="21">
        <v>54</v>
      </c>
    </row>
    <row r="26" spans="1:5" x14ac:dyDescent="0.3">
      <c r="A26" s="24" t="s">
        <v>27</v>
      </c>
      <c r="B26" s="4">
        <v>0.3448</v>
      </c>
      <c r="C26" s="4">
        <f t="shared" si="0"/>
        <v>1.3799999999999979E-2</v>
      </c>
      <c r="D26" s="21">
        <v>24</v>
      </c>
      <c r="E26" s="21">
        <v>65</v>
      </c>
    </row>
    <row r="27" spans="1:5" x14ac:dyDescent="0.3">
      <c r="A27" s="24" t="s">
        <v>28</v>
      </c>
      <c r="B27" s="4">
        <v>0.35859999999999997</v>
      </c>
      <c r="C27" s="4">
        <f t="shared" si="0"/>
        <v>1.3799999999999979E-2</v>
      </c>
      <c r="D27" s="21">
        <v>24</v>
      </c>
      <c r="E27" s="21">
        <v>65</v>
      </c>
    </row>
    <row r="28" spans="1:5" x14ac:dyDescent="0.3">
      <c r="A28" s="24" t="s">
        <v>29</v>
      </c>
      <c r="B28" s="4">
        <v>0.37240000000000001</v>
      </c>
      <c r="C28" s="4">
        <f t="shared" si="0"/>
        <v>1.3800000000000034E-2</v>
      </c>
      <c r="D28" s="22">
        <v>24</v>
      </c>
      <c r="E28" s="22">
        <v>65</v>
      </c>
    </row>
    <row r="29" spans="1:5" x14ac:dyDescent="0.3">
      <c r="A29" s="24" t="s">
        <v>30</v>
      </c>
      <c r="B29" s="4">
        <v>0.38619999999999999</v>
      </c>
      <c r="C29" s="4">
        <f t="shared" si="0"/>
        <v>1.3799999999999979E-2</v>
      </c>
      <c r="D29" s="22">
        <v>24</v>
      </c>
      <c r="E29" s="22">
        <v>65</v>
      </c>
    </row>
    <row r="30" spans="1:5" x14ac:dyDescent="0.3">
      <c r="A30" s="24" t="s">
        <v>31</v>
      </c>
      <c r="B30" s="4">
        <v>0.4</v>
      </c>
      <c r="C30" s="4">
        <f t="shared" si="0"/>
        <v>1.3800000000000034E-2</v>
      </c>
      <c r="D30" s="22">
        <v>24</v>
      </c>
      <c r="E30" s="22">
        <v>65</v>
      </c>
    </row>
    <row r="31" spans="1:5" x14ac:dyDescent="0.3">
      <c r="A31" s="24" t="s">
        <v>32</v>
      </c>
      <c r="B31" s="4">
        <v>0.4138</v>
      </c>
      <c r="C31" s="4">
        <f t="shared" si="0"/>
        <v>1.3799999999999979E-2</v>
      </c>
      <c r="D31" s="22">
        <v>29</v>
      </c>
      <c r="E31" s="22">
        <v>75</v>
      </c>
    </row>
    <row r="32" spans="1:5" x14ac:dyDescent="0.3">
      <c r="A32" s="24" t="s">
        <v>33</v>
      </c>
      <c r="B32" s="4">
        <v>0.42749999999999999</v>
      </c>
      <c r="C32" s="4">
        <f t="shared" si="0"/>
        <v>1.369999999999999E-2</v>
      </c>
      <c r="D32" s="22">
        <v>29</v>
      </c>
      <c r="E32" s="22">
        <v>75</v>
      </c>
    </row>
    <row r="33" spans="1:5" x14ac:dyDescent="0.3">
      <c r="A33" s="24" t="s">
        <v>34</v>
      </c>
      <c r="B33" s="4">
        <v>0.44130000000000003</v>
      </c>
      <c r="C33" s="4">
        <f t="shared" si="0"/>
        <v>1.3800000000000034E-2</v>
      </c>
      <c r="D33" s="21">
        <v>29</v>
      </c>
      <c r="E33" s="21">
        <v>75</v>
      </c>
    </row>
    <row r="34" spans="1:5" x14ac:dyDescent="0.3">
      <c r="A34" s="24" t="s">
        <v>35</v>
      </c>
      <c r="B34" s="4">
        <v>0.4551</v>
      </c>
      <c r="C34" s="4">
        <f t="shared" si="0"/>
        <v>1.3799999999999979E-2</v>
      </c>
      <c r="D34" s="21">
        <v>29</v>
      </c>
      <c r="E34" s="21">
        <v>75</v>
      </c>
    </row>
    <row r="35" spans="1:5" x14ac:dyDescent="0.3">
      <c r="A35" s="24" t="s">
        <v>36</v>
      </c>
      <c r="B35" s="4">
        <v>0.46889999999999998</v>
      </c>
      <c r="C35" s="4">
        <f t="shared" si="0"/>
        <v>1.3799999999999979E-2</v>
      </c>
      <c r="D35" s="21">
        <v>29</v>
      </c>
      <c r="E35" s="21">
        <v>75</v>
      </c>
    </row>
    <row r="36" spans="1:5" x14ac:dyDescent="0.3">
      <c r="A36" s="24" t="s">
        <v>37</v>
      </c>
      <c r="B36" s="4">
        <v>0.48270000000000002</v>
      </c>
      <c r="C36" s="4">
        <f t="shared" si="0"/>
        <v>1.3800000000000034E-2</v>
      </c>
      <c r="D36" s="21">
        <v>33</v>
      </c>
      <c r="E36" s="21">
        <v>87</v>
      </c>
    </row>
    <row r="37" spans="1:5" x14ac:dyDescent="0.3">
      <c r="A37" s="24" t="s">
        <v>38</v>
      </c>
      <c r="B37" s="4">
        <v>0.4965</v>
      </c>
      <c r="C37" s="4">
        <f t="shared" si="0"/>
        <v>1.3799999999999979E-2</v>
      </c>
      <c r="D37" s="21">
        <v>33</v>
      </c>
      <c r="E37" s="21">
        <v>87</v>
      </c>
    </row>
    <row r="38" spans="1:5" x14ac:dyDescent="0.3">
      <c r="A38" s="24" t="s">
        <v>39</v>
      </c>
      <c r="B38" s="4">
        <v>0.51029999999999998</v>
      </c>
      <c r="C38" s="4">
        <f t="shared" si="0"/>
        <v>1.3799999999999979E-2</v>
      </c>
      <c r="D38" s="21">
        <v>33</v>
      </c>
      <c r="E38" s="21">
        <v>87</v>
      </c>
    </row>
    <row r="39" spans="1:5" x14ac:dyDescent="0.3">
      <c r="A39" s="24" t="s">
        <v>40</v>
      </c>
      <c r="B39" s="4">
        <v>0.52410000000000001</v>
      </c>
      <c r="C39" s="4">
        <f t="shared" si="0"/>
        <v>1.3800000000000034E-2</v>
      </c>
      <c r="D39" s="21">
        <v>33</v>
      </c>
      <c r="E39" s="21">
        <v>87</v>
      </c>
    </row>
    <row r="40" spans="1:5" x14ac:dyDescent="0.3">
      <c r="A40" s="24" t="s">
        <v>41</v>
      </c>
      <c r="B40" s="4">
        <v>0.53790000000000004</v>
      </c>
      <c r="C40" s="4">
        <f t="shared" si="0"/>
        <v>1.3800000000000034E-2</v>
      </c>
      <c r="D40" s="21">
        <v>33</v>
      </c>
      <c r="E40" s="21">
        <v>87</v>
      </c>
    </row>
    <row r="41" spans="1:5" x14ac:dyDescent="0.3">
      <c r="A41" s="24" t="s">
        <v>42</v>
      </c>
      <c r="B41" s="4">
        <v>0.55169999999999997</v>
      </c>
      <c r="C41" s="4">
        <f t="shared" si="0"/>
        <v>1.3799999999999923E-2</v>
      </c>
      <c r="D41" s="21">
        <v>36</v>
      </c>
      <c r="E41" s="21">
        <v>98</v>
      </c>
    </row>
    <row r="42" spans="1:5" x14ac:dyDescent="0.3">
      <c r="A42" s="24" t="s">
        <v>43</v>
      </c>
      <c r="B42" s="4">
        <v>0.5655</v>
      </c>
      <c r="C42" s="4">
        <f t="shared" si="0"/>
        <v>1.3800000000000034E-2</v>
      </c>
      <c r="D42" s="21">
        <v>36</v>
      </c>
      <c r="E42" s="21">
        <v>98</v>
      </c>
    </row>
    <row r="43" spans="1:5" x14ac:dyDescent="0.3">
      <c r="A43" s="24" t="s">
        <v>44</v>
      </c>
      <c r="B43" s="4">
        <v>0.57930000000000004</v>
      </c>
      <c r="C43" s="4">
        <f t="shared" si="0"/>
        <v>1.3800000000000034E-2</v>
      </c>
      <c r="D43" s="21">
        <v>36</v>
      </c>
      <c r="E43" s="21">
        <v>98</v>
      </c>
    </row>
    <row r="44" spans="1:5" x14ac:dyDescent="0.3">
      <c r="A44" s="24" t="s">
        <v>45</v>
      </c>
      <c r="B44" s="4">
        <v>0.59299999999999997</v>
      </c>
      <c r="C44" s="4">
        <f t="shared" si="0"/>
        <v>1.3699999999999934E-2</v>
      </c>
      <c r="D44" s="21">
        <v>36</v>
      </c>
      <c r="E44" s="21">
        <v>98</v>
      </c>
    </row>
    <row r="45" spans="1:5" x14ac:dyDescent="0.3">
      <c r="A45" s="24" t="s">
        <v>46</v>
      </c>
      <c r="B45" s="4">
        <v>0.60680000000000001</v>
      </c>
      <c r="C45" s="4">
        <f t="shared" si="0"/>
        <v>1.3800000000000034E-2</v>
      </c>
      <c r="D45" s="21">
        <v>36</v>
      </c>
      <c r="E45" s="21">
        <v>98</v>
      </c>
    </row>
    <row r="46" spans="1:5" x14ac:dyDescent="0.3">
      <c r="A46" s="24" t="s">
        <v>47</v>
      </c>
      <c r="B46" s="4">
        <v>0.62060000000000004</v>
      </c>
      <c r="C46" s="4">
        <f t="shared" si="0"/>
        <v>1.3800000000000034E-2</v>
      </c>
      <c r="D46" s="21">
        <v>42</v>
      </c>
      <c r="E46" s="21">
        <v>108</v>
      </c>
    </row>
    <row r="47" spans="1:5" x14ac:dyDescent="0.3">
      <c r="A47" s="24" t="s">
        <v>48</v>
      </c>
      <c r="B47" s="4">
        <v>0.63439999999999996</v>
      </c>
      <c r="C47" s="4">
        <f t="shared" si="0"/>
        <v>1.3799999999999923E-2</v>
      </c>
      <c r="D47" s="21">
        <v>42</v>
      </c>
      <c r="E47" s="21">
        <v>108</v>
      </c>
    </row>
    <row r="48" spans="1:5" x14ac:dyDescent="0.3">
      <c r="A48" s="24" t="s">
        <v>49</v>
      </c>
      <c r="B48" s="4">
        <v>0.6482</v>
      </c>
      <c r="C48" s="4">
        <f t="shared" si="0"/>
        <v>1.3800000000000034E-2</v>
      </c>
      <c r="D48" s="21">
        <v>42</v>
      </c>
      <c r="E48" s="21">
        <v>108</v>
      </c>
    </row>
    <row r="49" spans="1:5" x14ac:dyDescent="0.3">
      <c r="A49" s="24" t="s">
        <v>50</v>
      </c>
      <c r="B49" s="4">
        <v>0.66200000000000003</v>
      </c>
      <c r="C49" s="4">
        <f t="shared" si="0"/>
        <v>1.3800000000000034E-2</v>
      </c>
      <c r="D49" s="21">
        <v>42</v>
      </c>
      <c r="E49" s="21">
        <v>108</v>
      </c>
    </row>
    <row r="50" spans="1:5" x14ac:dyDescent="0.3">
      <c r="A50" s="24" t="s">
        <v>51</v>
      </c>
      <c r="B50" s="4">
        <v>0.67579999999999996</v>
      </c>
      <c r="C50" s="4">
        <f t="shared" si="0"/>
        <v>1.3799999999999923E-2</v>
      </c>
      <c r="D50" s="21">
        <v>42</v>
      </c>
      <c r="E50" s="21">
        <v>108</v>
      </c>
    </row>
    <row r="51" spans="1:5" x14ac:dyDescent="0.3">
      <c r="A51" s="24" t="s">
        <v>52</v>
      </c>
      <c r="B51" s="4">
        <v>0.68959999999999999</v>
      </c>
      <c r="C51" s="4">
        <f t="shared" si="0"/>
        <v>1.3800000000000034E-2</v>
      </c>
      <c r="D51" s="21">
        <v>45</v>
      </c>
      <c r="E51" s="21">
        <v>119</v>
      </c>
    </row>
    <row r="52" spans="1:5" x14ac:dyDescent="0.3">
      <c r="A52" s="24" t="s">
        <v>53</v>
      </c>
      <c r="B52" s="4">
        <v>0.70340000000000003</v>
      </c>
      <c r="C52" s="4">
        <f t="shared" si="0"/>
        <v>1.3800000000000034E-2</v>
      </c>
      <c r="D52" s="21">
        <v>45</v>
      </c>
      <c r="E52" s="21">
        <v>119</v>
      </c>
    </row>
  </sheetData>
  <pageMargins left="0.75" right="0.75" top="1" bottom="1" header="0.5" footer="0.5"/>
  <pageSetup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11EC-A307-4F03-8712-7D2915331ADD}">
  <dimension ref="A1:X52"/>
  <sheetViews>
    <sheetView tabSelected="1" workbookViewId="0">
      <selection activeCell="R15" sqref="R15"/>
    </sheetView>
  </sheetViews>
  <sheetFormatPr defaultRowHeight="14.4" x14ac:dyDescent="0.3"/>
  <cols>
    <col min="1" max="1" width="20" style="22" customWidth="1"/>
    <col min="2" max="3" width="19" style="22" customWidth="1"/>
    <col min="4" max="4" width="13.77734375" style="22" customWidth="1"/>
    <col min="5" max="5" width="12" style="22" customWidth="1"/>
    <col min="6" max="6" width="20.77734375" style="22" customWidth="1"/>
    <col min="7" max="8" width="17.6640625" style="22" customWidth="1"/>
    <col min="9" max="9" width="25" style="22" customWidth="1"/>
    <col min="10" max="10" width="23.77734375" style="22" customWidth="1"/>
    <col min="11" max="11" width="17.6640625" style="22" customWidth="1"/>
    <col min="12" max="13" width="8.88671875" style="22"/>
    <col min="14" max="14" width="30.21875" style="22" customWidth="1"/>
    <col min="15" max="15" width="24.77734375" style="22" customWidth="1"/>
    <col min="16" max="22" width="8.88671875" style="22"/>
    <col min="23" max="24" width="17.77734375" style="22" customWidth="1"/>
    <col min="25" max="16384" width="8.88671875" style="22"/>
  </cols>
  <sheetData>
    <row r="1" spans="1:24" x14ac:dyDescent="0.3">
      <c r="A1" s="23" t="s">
        <v>0</v>
      </c>
      <c r="B1" s="3" t="s">
        <v>1</v>
      </c>
      <c r="C1" s="3" t="s">
        <v>65</v>
      </c>
      <c r="D1" s="3" t="s">
        <v>76</v>
      </c>
      <c r="E1" s="3" t="s">
        <v>55</v>
      </c>
      <c r="F1" s="3" t="s">
        <v>54</v>
      </c>
      <c r="G1" s="2" t="s">
        <v>77</v>
      </c>
      <c r="H1" s="2" t="s">
        <v>64</v>
      </c>
      <c r="I1" s="2" t="s">
        <v>78</v>
      </c>
      <c r="J1" s="2" t="s">
        <v>63</v>
      </c>
      <c r="K1" s="2"/>
      <c r="L1" s="3" t="s">
        <v>58</v>
      </c>
      <c r="M1" s="3" t="s">
        <v>59</v>
      </c>
      <c r="N1" s="3"/>
      <c r="O1" s="3"/>
      <c r="W1" s="22" t="s">
        <v>79</v>
      </c>
      <c r="X1" s="22" t="s">
        <v>61</v>
      </c>
    </row>
    <row r="2" spans="1:24" x14ac:dyDescent="0.3">
      <c r="A2" s="24" t="s">
        <v>2</v>
      </c>
      <c r="B2" s="4">
        <v>1.7899999999999999E-2</v>
      </c>
      <c r="C2" s="4">
        <f>B2</f>
        <v>1.7899999999999999E-2</v>
      </c>
      <c r="D2" s="21">
        <v>3</v>
      </c>
      <c r="E2" s="21">
        <v>17</v>
      </c>
      <c r="F2" s="4">
        <f ca="1">SUM(INDIRECT("C" &amp; L2 &amp; ":C" &amp; M2))</f>
        <v>0.44819999999999999</v>
      </c>
      <c r="G2" s="5">
        <f ca="1">SUM(INDIRECT("D" &amp; L2 &amp; ":D" &amp; M2))</f>
        <v>1237</v>
      </c>
      <c r="H2" s="5">
        <f ca="1">SUM(INDIRECT("E" &amp; L2 &amp; ":E" &amp; M2))</f>
        <v>3417</v>
      </c>
      <c r="I2" s="5">
        <f ca="1">G2/W2</f>
        <v>247.4</v>
      </c>
      <c r="J2" s="5">
        <f ca="1">H2/X2</f>
        <v>227.8</v>
      </c>
      <c r="K2" s="5"/>
      <c r="L2" s="22">
        <v>28</v>
      </c>
      <c r="M2" s="22">
        <v>52</v>
      </c>
      <c r="W2" s="22">
        <v>5</v>
      </c>
      <c r="X2" s="22">
        <v>15</v>
      </c>
    </row>
    <row r="3" spans="1:24" x14ac:dyDescent="0.3">
      <c r="A3" s="24" t="s">
        <v>4</v>
      </c>
      <c r="B3" s="4">
        <v>3.5900000000000001E-2</v>
      </c>
      <c r="C3" s="4">
        <f>B3-B2</f>
        <v>1.8000000000000002E-2</v>
      </c>
      <c r="D3" s="21">
        <v>3</v>
      </c>
      <c r="E3" s="21">
        <v>17</v>
      </c>
    </row>
    <row r="4" spans="1:24" x14ac:dyDescent="0.3">
      <c r="A4" s="24" t="s">
        <v>5</v>
      </c>
      <c r="B4" s="4">
        <v>5.3800000000000001E-2</v>
      </c>
      <c r="C4" s="4">
        <f t="shared" ref="C4:C52" si="0">B4-B3</f>
        <v>1.7899999999999999E-2</v>
      </c>
      <c r="D4" s="21">
        <v>3</v>
      </c>
      <c r="E4" s="21">
        <v>17</v>
      </c>
    </row>
    <row r="5" spans="1:24" x14ac:dyDescent="0.3">
      <c r="A5" s="24" t="s">
        <v>6</v>
      </c>
      <c r="B5" s="4">
        <v>7.17E-2</v>
      </c>
      <c r="C5" s="4">
        <f t="shared" si="0"/>
        <v>1.7899999999999999E-2</v>
      </c>
      <c r="D5" s="21">
        <v>3</v>
      </c>
      <c r="E5" s="21">
        <v>17</v>
      </c>
    </row>
    <row r="6" spans="1:24" x14ac:dyDescent="0.3">
      <c r="A6" s="24" t="s">
        <v>7</v>
      </c>
      <c r="B6" s="4">
        <v>8.9599999999999999E-2</v>
      </c>
      <c r="C6" s="4">
        <f t="shared" si="0"/>
        <v>1.7899999999999999E-2</v>
      </c>
      <c r="D6" s="21">
        <v>12</v>
      </c>
      <c r="E6" s="21">
        <v>32</v>
      </c>
    </row>
    <row r="7" spans="1:24" x14ac:dyDescent="0.3">
      <c r="A7" s="24" t="s">
        <v>8</v>
      </c>
      <c r="B7" s="4">
        <v>0.1076</v>
      </c>
      <c r="C7" s="4">
        <f t="shared" si="0"/>
        <v>1.8000000000000002E-2</v>
      </c>
      <c r="D7" s="21">
        <v>12</v>
      </c>
      <c r="E7" s="21">
        <v>32</v>
      </c>
    </row>
    <row r="8" spans="1:24" x14ac:dyDescent="0.3">
      <c r="A8" s="24" t="s">
        <v>9</v>
      </c>
      <c r="B8" s="4">
        <v>0.1255</v>
      </c>
      <c r="C8" s="4">
        <f t="shared" si="0"/>
        <v>1.7899999999999999E-2</v>
      </c>
      <c r="D8" s="21">
        <v>12</v>
      </c>
      <c r="E8" s="21">
        <v>32</v>
      </c>
    </row>
    <row r="9" spans="1:24" x14ac:dyDescent="0.3">
      <c r="A9" s="24" t="s">
        <v>10</v>
      </c>
      <c r="B9" s="4">
        <v>0.1434</v>
      </c>
      <c r="C9" s="4">
        <f t="shared" si="0"/>
        <v>1.7899999999999999E-2</v>
      </c>
      <c r="D9" s="21">
        <v>12</v>
      </c>
      <c r="E9" s="21">
        <v>32</v>
      </c>
    </row>
    <row r="10" spans="1:24" x14ac:dyDescent="0.3">
      <c r="A10" s="24" t="s">
        <v>11</v>
      </c>
      <c r="B10" s="4">
        <v>0.16139999999999999</v>
      </c>
      <c r="C10" s="4">
        <f t="shared" si="0"/>
        <v>1.7999999999999988E-2</v>
      </c>
      <c r="D10" s="21">
        <v>12</v>
      </c>
      <c r="E10" s="21">
        <v>32</v>
      </c>
    </row>
    <row r="11" spans="1:24" x14ac:dyDescent="0.3">
      <c r="A11" s="24" t="s">
        <v>12</v>
      </c>
      <c r="B11" s="4">
        <v>0.17929999999999999</v>
      </c>
      <c r="C11" s="4">
        <f t="shared" si="0"/>
        <v>1.7899999999999999E-2</v>
      </c>
      <c r="D11" s="21">
        <v>17</v>
      </c>
      <c r="E11" s="21">
        <v>50</v>
      </c>
    </row>
    <row r="12" spans="1:24" x14ac:dyDescent="0.3">
      <c r="A12" s="24" t="s">
        <v>13</v>
      </c>
      <c r="B12" s="4">
        <v>0.19719999999999999</v>
      </c>
      <c r="C12" s="4">
        <f t="shared" si="0"/>
        <v>1.7899999999999999E-2</v>
      </c>
      <c r="D12" s="21">
        <v>17</v>
      </c>
      <c r="E12" s="21">
        <v>50</v>
      </c>
    </row>
    <row r="13" spans="1:24" x14ac:dyDescent="0.3">
      <c r="A13" s="24" t="s">
        <v>14</v>
      </c>
      <c r="B13" s="4">
        <v>0.2152</v>
      </c>
      <c r="C13" s="4">
        <f t="shared" si="0"/>
        <v>1.8000000000000016E-2</v>
      </c>
      <c r="D13" s="21">
        <v>17</v>
      </c>
      <c r="E13" s="21">
        <v>50</v>
      </c>
    </row>
    <row r="14" spans="1:24" x14ac:dyDescent="0.3">
      <c r="A14" s="24" t="s">
        <v>15</v>
      </c>
      <c r="B14" s="4">
        <v>0.2331</v>
      </c>
      <c r="C14" s="4">
        <f t="shared" si="0"/>
        <v>1.7899999999999999E-2</v>
      </c>
      <c r="D14" s="21">
        <v>17</v>
      </c>
      <c r="E14" s="21">
        <v>50</v>
      </c>
    </row>
    <row r="15" spans="1:24" x14ac:dyDescent="0.3">
      <c r="A15" s="24" t="s">
        <v>16</v>
      </c>
      <c r="B15" s="4">
        <v>0.251</v>
      </c>
      <c r="C15" s="4">
        <f t="shared" si="0"/>
        <v>1.7899999999999999E-2</v>
      </c>
      <c r="D15" s="21">
        <v>17</v>
      </c>
      <c r="E15" s="21">
        <v>50</v>
      </c>
    </row>
    <row r="16" spans="1:24" x14ac:dyDescent="0.3">
      <c r="A16" s="24" t="s">
        <v>17</v>
      </c>
      <c r="B16" s="4">
        <v>0.26889999999999997</v>
      </c>
      <c r="C16" s="4">
        <f t="shared" si="0"/>
        <v>1.7899999999999971E-2</v>
      </c>
      <c r="D16" s="21">
        <v>23</v>
      </c>
      <c r="E16" s="21">
        <v>66</v>
      </c>
    </row>
    <row r="17" spans="1:5" x14ac:dyDescent="0.3">
      <c r="A17" s="24" t="s">
        <v>18</v>
      </c>
      <c r="B17" s="4">
        <v>0.28689999999999999</v>
      </c>
      <c r="C17" s="4">
        <f t="shared" si="0"/>
        <v>1.8000000000000016E-2</v>
      </c>
      <c r="D17" s="21">
        <v>23</v>
      </c>
      <c r="E17" s="21">
        <v>66</v>
      </c>
    </row>
    <row r="18" spans="1:5" x14ac:dyDescent="0.3">
      <c r="A18" s="24" t="s">
        <v>19</v>
      </c>
      <c r="B18" s="4">
        <v>0.30480000000000002</v>
      </c>
      <c r="C18" s="4">
        <f t="shared" si="0"/>
        <v>1.7900000000000027E-2</v>
      </c>
      <c r="D18" s="21">
        <v>23</v>
      </c>
      <c r="E18" s="21">
        <v>66</v>
      </c>
    </row>
    <row r="19" spans="1:5" x14ac:dyDescent="0.3">
      <c r="A19" s="24" t="s">
        <v>20</v>
      </c>
      <c r="B19" s="4">
        <v>0.32269999999999999</v>
      </c>
      <c r="C19" s="4">
        <f t="shared" si="0"/>
        <v>1.7899999999999971E-2</v>
      </c>
      <c r="D19" s="21">
        <v>23</v>
      </c>
      <c r="E19" s="21">
        <v>66</v>
      </c>
    </row>
    <row r="20" spans="1:5" x14ac:dyDescent="0.3">
      <c r="A20" s="24" t="s">
        <v>21</v>
      </c>
      <c r="B20" s="4">
        <v>0.3407</v>
      </c>
      <c r="C20" s="4">
        <f t="shared" si="0"/>
        <v>1.8000000000000016E-2</v>
      </c>
      <c r="D20" s="21">
        <v>23</v>
      </c>
      <c r="E20" s="21">
        <v>66</v>
      </c>
    </row>
    <row r="21" spans="1:5" x14ac:dyDescent="0.3">
      <c r="A21" s="24" t="s">
        <v>22</v>
      </c>
      <c r="B21" s="4">
        <v>0.35859999999999997</v>
      </c>
      <c r="C21" s="4">
        <f t="shared" si="0"/>
        <v>1.7899999999999971E-2</v>
      </c>
      <c r="D21" s="21">
        <v>30</v>
      </c>
      <c r="E21" s="21">
        <v>81</v>
      </c>
    </row>
    <row r="22" spans="1:5" x14ac:dyDescent="0.3">
      <c r="A22" s="24" t="s">
        <v>23</v>
      </c>
      <c r="B22" s="4">
        <v>0.3765</v>
      </c>
      <c r="C22" s="4">
        <f t="shared" si="0"/>
        <v>1.7900000000000027E-2</v>
      </c>
      <c r="D22" s="21">
        <v>30</v>
      </c>
      <c r="E22" s="21">
        <v>81</v>
      </c>
    </row>
    <row r="23" spans="1:5" x14ac:dyDescent="0.3">
      <c r="A23" s="24" t="s">
        <v>24</v>
      </c>
      <c r="B23" s="4">
        <v>0.39439999999999997</v>
      </c>
      <c r="C23" s="4">
        <f t="shared" si="0"/>
        <v>1.7899999999999971E-2</v>
      </c>
      <c r="D23" s="21">
        <v>30</v>
      </c>
      <c r="E23" s="21">
        <v>81</v>
      </c>
    </row>
    <row r="24" spans="1:5" x14ac:dyDescent="0.3">
      <c r="A24" s="24" t="s">
        <v>25</v>
      </c>
      <c r="B24" s="4">
        <v>0.41239999999999999</v>
      </c>
      <c r="C24" s="4">
        <f t="shared" si="0"/>
        <v>1.8000000000000016E-2</v>
      </c>
      <c r="D24" s="21">
        <v>30</v>
      </c>
      <c r="E24" s="21">
        <v>81</v>
      </c>
    </row>
    <row r="25" spans="1:5" x14ac:dyDescent="0.3">
      <c r="A25" s="24" t="s">
        <v>26</v>
      </c>
      <c r="B25" s="4">
        <v>0.43030000000000002</v>
      </c>
      <c r="C25" s="4">
        <f t="shared" si="0"/>
        <v>1.7900000000000027E-2</v>
      </c>
      <c r="D25" s="21">
        <v>30</v>
      </c>
      <c r="E25" s="21">
        <v>81</v>
      </c>
    </row>
    <row r="26" spans="1:5" x14ac:dyDescent="0.3">
      <c r="A26" s="24" t="s">
        <v>27</v>
      </c>
      <c r="B26" s="4">
        <v>0.44819999999999999</v>
      </c>
      <c r="C26" s="4">
        <f t="shared" si="0"/>
        <v>1.7899999999999971E-2</v>
      </c>
      <c r="D26" s="21">
        <v>36</v>
      </c>
      <c r="E26" s="21">
        <v>98</v>
      </c>
    </row>
    <row r="27" spans="1:5" x14ac:dyDescent="0.3">
      <c r="A27" s="24" t="s">
        <v>28</v>
      </c>
      <c r="B27" s="4">
        <v>0.4662</v>
      </c>
      <c r="C27" s="4">
        <f t="shared" si="0"/>
        <v>1.8000000000000016E-2</v>
      </c>
      <c r="D27" s="21">
        <v>36</v>
      </c>
      <c r="E27" s="21">
        <v>98</v>
      </c>
    </row>
    <row r="28" spans="1:5" x14ac:dyDescent="0.3">
      <c r="A28" s="24" t="s">
        <v>29</v>
      </c>
      <c r="B28" s="4">
        <v>0.48409999999999997</v>
      </c>
      <c r="C28" s="4">
        <f t="shared" si="0"/>
        <v>1.7899999999999971E-2</v>
      </c>
      <c r="D28" s="22">
        <v>36</v>
      </c>
      <c r="E28" s="22">
        <v>98</v>
      </c>
    </row>
    <row r="29" spans="1:5" x14ac:dyDescent="0.3">
      <c r="A29" s="24" t="s">
        <v>30</v>
      </c>
      <c r="B29" s="4">
        <v>0.502</v>
      </c>
      <c r="C29" s="4">
        <f t="shared" si="0"/>
        <v>1.7900000000000027E-2</v>
      </c>
      <c r="D29" s="22">
        <v>36</v>
      </c>
      <c r="E29" s="22">
        <v>98</v>
      </c>
    </row>
    <row r="30" spans="1:5" x14ac:dyDescent="0.3">
      <c r="A30" s="24" t="s">
        <v>31</v>
      </c>
      <c r="B30" s="4">
        <v>0.52</v>
      </c>
      <c r="C30" s="4">
        <f t="shared" si="0"/>
        <v>1.8000000000000016E-2</v>
      </c>
      <c r="D30" s="22">
        <v>36</v>
      </c>
      <c r="E30" s="22">
        <v>98</v>
      </c>
    </row>
    <row r="31" spans="1:5" x14ac:dyDescent="0.3">
      <c r="A31" s="24" t="s">
        <v>32</v>
      </c>
      <c r="B31" s="4">
        <v>0.53790000000000004</v>
      </c>
      <c r="C31" s="4">
        <f t="shared" si="0"/>
        <v>1.7900000000000027E-2</v>
      </c>
      <c r="D31" s="22">
        <v>13</v>
      </c>
      <c r="E31" s="22">
        <v>113</v>
      </c>
    </row>
    <row r="32" spans="1:5" x14ac:dyDescent="0.3">
      <c r="A32" s="24" t="s">
        <v>33</v>
      </c>
      <c r="B32" s="4">
        <v>0.55579999999999996</v>
      </c>
      <c r="C32" s="4">
        <f t="shared" si="0"/>
        <v>1.7899999999999916E-2</v>
      </c>
      <c r="D32" s="22">
        <v>13</v>
      </c>
      <c r="E32" s="22">
        <v>113</v>
      </c>
    </row>
    <row r="33" spans="1:5" x14ac:dyDescent="0.3">
      <c r="A33" s="24" t="s">
        <v>34</v>
      </c>
      <c r="B33" s="4">
        <v>0.57369999999999999</v>
      </c>
      <c r="C33" s="4">
        <f t="shared" si="0"/>
        <v>1.7900000000000027E-2</v>
      </c>
      <c r="D33" s="21">
        <v>44</v>
      </c>
      <c r="E33" s="21">
        <v>113</v>
      </c>
    </row>
    <row r="34" spans="1:5" x14ac:dyDescent="0.3">
      <c r="A34" s="24" t="s">
        <v>35</v>
      </c>
      <c r="B34" s="4">
        <v>0.5917</v>
      </c>
      <c r="C34" s="4">
        <f t="shared" si="0"/>
        <v>1.8000000000000016E-2</v>
      </c>
      <c r="D34" s="21">
        <v>44</v>
      </c>
      <c r="E34" s="21">
        <v>113</v>
      </c>
    </row>
    <row r="35" spans="1:5" x14ac:dyDescent="0.3">
      <c r="A35" s="24" t="s">
        <v>36</v>
      </c>
      <c r="B35" s="4">
        <v>0.60960000000000003</v>
      </c>
      <c r="C35" s="4">
        <f t="shared" si="0"/>
        <v>1.7900000000000027E-2</v>
      </c>
      <c r="D35" s="21">
        <v>44</v>
      </c>
      <c r="E35" s="21">
        <v>113</v>
      </c>
    </row>
    <row r="36" spans="1:5" x14ac:dyDescent="0.3">
      <c r="A36" s="24" t="s">
        <v>37</v>
      </c>
      <c r="B36" s="4">
        <v>0.62749999999999995</v>
      </c>
      <c r="C36" s="4">
        <f t="shared" si="0"/>
        <v>1.7899999999999916E-2</v>
      </c>
      <c r="D36" s="21">
        <v>50</v>
      </c>
      <c r="E36" s="21">
        <v>131</v>
      </c>
    </row>
    <row r="37" spans="1:5" x14ac:dyDescent="0.3">
      <c r="A37" s="24" t="s">
        <v>38</v>
      </c>
      <c r="B37" s="4">
        <v>0.64549999999999996</v>
      </c>
      <c r="C37" s="4">
        <f t="shared" si="0"/>
        <v>1.8000000000000016E-2</v>
      </c>
      <c r="D37" s="21">
        <v>50</v>
      </c>
      <c r="E37" s="21">
        <v>131</v>
      </c>
    </row>
    <row r="38" spans="1:5" x14ac:dyDescent="0.3">
      <c r="A38" s="24" t="s">
        <v>39</v>
      </c>
      <c r="B38" s="4">
        <v>0.66339999999999999</v>
      </c>
      <c r="C38" s="4">
        <f t="shared" si="0"/>
        <v>1.7900000000000027E-2</v>
      </c>
      <c r="D38" s="21">
        <v>50</v>
      </c>
      <c r="E38" s="21">
        <v>131</v>
      </c>
    </row>
    <row r="39" spans="1:5" x14ac:dyDescent="0.3">
      <c r="A39" s="24" t="s">
        <v>40</v>
      </c>
      <c r="B39" s="4">
        <v>0.68130000000000002</v>
      </c>
      <c r="C39" s="4">
        <f t="shared" si="0"/>
        <v>1.7900000000000027E-2</v>
      </c>
      <c r="D39" s="21">
        <v>50</v>
      </c>
      <c r="E39" s="21">
        <v>131</v>
      </c>
    </row>
    <row r="40" spans="1:5" x14ac:dyDescent="0.3">
      <c r="A40" s="24" t="s">
        <v>41</v>
      </c>
      <c r="B40" s="4">
        <v>0.69920000000000004</v>
      </c>
      <c r="C40" s="4">
        <f t="shared" si="0"/>
        <v>1.7900000000000027E-2</v>
      </c>
      <c r="D40" s="21">
        <v>50</v>
      </c>
      <c r="E40" s="21">
        <v>131</v>
      </c>
    </row>
    <row r="41" spans="1:5" x14ac:dyDescent="0.3">
      <c r="A41" s="24" t="s">
        <v>42</v>
      </c>
      <c r="B41" s="4">
        <v>0.71719999999999995</v>
      </c>
      <c r="C41" s="4">
        <f t="shared" si="0"/>
        <v>1.7999999999999905E-2</v>
      </c>
      <c r="D41" s="21">
        <v>54</v>
      </c>
      <c r="E41" s="21">
        <v>147</v>
      </c>
    </row>
    <row r="42" spans="1:5" x14ac:dyDescent="0.3">
      <c r="A42" s="24" t="s">
        <v>43</v>
      </c>
      <c r="B42" s="4">
        <v>0.73509999999999998</v>
      </c>
      <c r="C42" s="4">
        <f t="shared" si="0"/>
        <v>1.7900000000000027E-2</v>
      </c>
      <c r="D42" s="21">
        <v>54</v>
      </c>
      <c r="E42" s="21">
        <v>147</v>
      </c>
    </row>
    <row r="43" spans="1:5" x14ac:dyDescent="0.3">
      <c r="A43" s="24" t="s">
        <v>44</v>
      </c>
      <c r="B43" s="4">
        <v>0.753</v>
      </c>
      <c r="C43" s="4">
        <f t="shared" si="0"/>
        <v>1.7900000000000027E-2</v>
      </c>
      <c r="D43" s="21">
        <v>54</v>
      </c>
      <c r="E43" s="21">
        <v>147</v>
      </c>
    </row>
    <row r="44" spans="1:5" x14ac:dyDescent="0.3">
      <c r="A44" s="24" t="s">
        <v>45</v>
      </c>
      <c r="B44" s="4">
        <v>0.77100000000000002</v>
      </c>
      <c r="C44" s="4">
        <f t="shared" si="0"/>
        <v>1.8000000000000016E-2</v>
      </c>
      <c r="D44" s="21">
        <v>54</v>
      </c>
      <c r="E44" s="21">
        <v>147</v>
      </c>
    </row>
    <row r="45" spans="1:5" x14ac:dyDescent="0.3">
      <c r="A45" s="24" t="s">
        <v>46</v>
      </c>
      <c r="B45" s="4">
        <v>0.78890000000000005</v>
      </c>
      <c r="C45" s="4">
        <f t="shared" si="0"/>
        <v>1.7900000000000027E-2</v>
      </c>
      <c r="D45" s="21">
        <v>54</v>
      </c>
      <c r="E45" s="21">
        <v>147</v>
      </c>
    </row>
    <row r="46" spans="1:5" x14ac:dyDescent="0.3">
      <c r="A46" s="24" t="s">
        <v>47</v>
      </c>
      <c r="B46" s="4">
        <v>0.80679999999999996</v>
      </c>
      <c r="C46" s="4">
        <f t="shared" si="0"/>
        <v>1.7899999999999916E-2</v>
      </c>
      <c r="D46" s="21">
        <v>63</v>
      </c>
      <c r="E46" s="21">
        <v>162</v>
      </c>
    </row>
    <row r="47" spans="1:5" x14ac:dyDescent="0.3">
      <c r="A47" s="24" t="s">
        <v>48</v>
      </c>
      <c r="B47" s="4">
        <v>0.82469999999999999</v>
      </c>
      <c r="C47" s="4">
        <f t="shared" si="0"/>
        <v>1.7900000000000027E-2</v>
      </c>
      <c r="D47" s="21">
        <v>63</v>
      </c>
      <c r="E47" s="21">
        <v>162</v>
      </c>
    </row>
    <row r="48" spans="1:5" x14ac:dyDescent="0.3">
      <c r="A48" s="24" t="s">
        <v>49</v>
      </c>
      <c r="B48" s="4">
        <v>0.8427</v>
      </c>
      <c r="C48" s="4">
        <f t="shared" si="0"/>
        <v>1.8000000000000016E-2</v>
      </c>
      <c r="D48" s="21">
        <v>63</v>
      </c>
      <c r="E48" s="21">
        <v>162</v>
      </c>
    </row>
    <row r="49" spans="1:5" x14ac:dyDescent="0.3">
      <c r="A49" s="24" t="s">
        <v>50</v>
      </c>
      <c r="B49" s="4">
        <v>0.86060000000000003</v>
      </c>
      <c r="C49" s="4">
        <f t="shared" si="0"/>
        <v>1.7900000000000027E-2</v>
      </c>
      <c r="D49" s="21">
        <v>63</v>
      </c>
      <c r="E49" s="21">
        <v>162</v>
      </c>
    </row>
    <row r="50" spans="1:5" x14ac:dyDescent="0.3">
      <c r="A50" s="24" t="s">
        <v>51</v>
      </c>
      <c r="B50" s="4">
        <v>0.87849999999999995</v>
      </c>
      <c r="C50" s="4">
        <f t="shared" si="0"/>
        <v>1.7899999999999916E-2</v>
      </c>
      <c r="D50" s="21">
        <v>63</v>
      </c>
      <c r="E50" s="21">
        <v>162</v>
      </c>
    </row>
    <row r="51" spans="1:5" x14ac:dyDescent="0.3">
      <c r="A51" s="24" t="s">
        <v>52</v>
      </c>
      <c r="B51" s="4">
        <v>0.89649999999999996</v>
      </c>
      <c r="C51" s="4">
        <f t="shared" si="0"/>
        <v>1.8000000000000016E-2</v>
      </c>
      <c r="D51" s="21">
        <v>68</v>
      </c>
      <c r="E51" s="21">
        <v>179</v>
      </c>
    </row>
    <row r="52" spans="1:5" x14ac:dyDescent="0.3">
      <c r="A52" s="24" t="s">
        <v>53</v>
      </c>
      <c r="B52" s="4">
        <v>0.91439999999999999</v>
      </c>
      <c r="C52" s="4">
        <f t="shared" si="0"/>
        <v>1.7900000000000027E-2</v>
      </c>
      <c r="D52" s="21">
        <v>68</v>
      </c>
      <c r="E52" s="21">
        <v>179</v>
      </c>
    </row>
  </sheetData>
  <pageMargins left="0.75" right="0.75" top="1" bottom="1" header="0.5" footer="0.5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Capsule_1</vt:lpstr>
      <vt:lpstr>Capsule_2</vt:lpstr>
      <vt:lpstr>Capsule_3</vt:lpstr>
      <vt:lpstr>AC04</vt:lpstr>
      <vt:lpstr>Enterprise Capsule_1</vt:lpstr>
      <vt:lpstr>Enterprise Capsule_2</vt:lpstr>
      <vt:lpstr>Enterprise Capsule_3</vt:lpstr>
      <vt:lpstr>Enterprise Capsule_4</vt:lpstr>
      <vt:lpstr>Enterprise Capsule_5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2026-05-08T10:38:41Z</dcterms:created>
  <dcterms:modified xsi:type="dcterms:W3CDTF">2026-05-18T21:25:15Z</dcterms:modified>
</cp:coreProperties>
</file>